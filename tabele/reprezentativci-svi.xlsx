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jt-develop\tabele\"/>
    </mc:Choice>
  </mc:AlternateContent>
  <xr:revisionPtr revIDLastSave="0" documentId="13_ncr:1_{77CCAEE0-C79E-4EFA-B79F-4E745F45261F}" xr6:coauthVersionLast="47" xr6:coauthVersionMax="47" xr10:uidLastSave="{00000000-0000-0000-0000-000000000000}"/>
  <bookViews>
    <workbookView xWindow="-108" yWindow="-108" windowWidth="23256" windowHeight="12456" xr2:uid="{331CD1EC-CAFB-4D26-B112-B89DA567400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9" i="1" l="1"/>
  <c r="A66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A679" i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40" i="1" s="1"/>
  <c r="A741" i="1" s="1"/>
  <c r="A742" i="1" s="1"/>
  <c r="A743" i="1" s="1"/>
  <c r="F678" i="1"/>
  <c r="A606" i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7" i="1" s="1"/>
  <c r="A668" i="1" s="1"/>
  <c r="A669" i="1" s="1"/>
  <c r="A670" i="1" s="1"/>
  <c r="A594" i="1"/>
  <c r="A595" i="1" s="1"/>
  <c r="A596" i="1" s="1"/>
  <c r="A597" i="1" s="1"/>
  <c r="A533" i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F526" i="1"/>
  <c r="F525" i="1"/>
  <c r="F524" i="1"/>
  <c r="A524" i="1"/>
  <c r="A525" i="1" s="1"/>
  <c r="A526" i="1" s="1"/>
  <c r="F523" i="1"/>
  <c r="A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A462" i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A401" i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F400" i="1"/>
  <c r="A391" i="1"/>
  <c r="A392" i="1" s="1"/>
  <c r="A393" i="1" s="1"/>
  <c r="A394" i="1" s="1"/>
  <c r="A331" i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30" i="1"/>
  <c r="A269" i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259" i="1"/>
  <c r="A260" i="1" s="1"/>
  <c r="A261" i="1" s="1"/>
  <c r="A262" i="1" s="1"/>
  <c r="A199" i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198" i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Y130" i="1"/>
  <c r="X130" i="1"/>
  <c r="W130" i="1"/>
  <c r="V130" i="1"/>
  <c r="G130" i="1"/>
  <c r="F130" i="1"/>
  <c r="Y129" i="1"/>
  <c r="X129" i="1"/>
  <c r="W129" i="1"/>
  <c r="V129" i="1"/>
  <c r="G129" i="1"/>
  <c r="F129" i="1"/>
  <c r="Y128" i="1"/>
  <c r="X128" i="1"/>
  <c r="W128" i="1"/>
  <c r="V128" i="1"/>
  <c r="G128" i="1"/>
  <c r="F128" i="1"/>
  <c r="Y127" i="1"/>
  <c r="X127" i="1"/>
  <c r="W127" i="1"/>
  <c r="V127" i="1"/>
  <c r="G127" i="1"/>
  <c r="F127" i="1"/>
  <c r="A127" i="1"/>
  <c r="A128" i="1" s="1"/>
  <c r="A129" i="1" s="1"/>
  <c r="A130" i="1" s="1"/>
  <c r="Y126" i="1"/>
  <c r="X126" i="1"/>
  <c r="W126" i="1"/>
  <c r="V126" i="1"/>
  <c r="G126" i="1"/>
  <c r="F126" i="1"/>
  <c r="Y125" i="1"/>
  <c r="X125" i="1"/>
  <c r="W125" i="1"/>
  <c r="V125" i="1"/>
  <c r="G125" i="1"/>
  <c r="F125" i="1"/>
  <c r="Y124" i="1"/>
  <c r="X124" i="1"/>
  <c r="W124" i="1"/>
  <c r="V124" i="1"/>
  <c r="G124" i="1"/>
  <c r="F124" i="1"/>
  <c r="Y123" i="1"/>
  <c r="X123" i="1"/>
  <c r="W123" i="1"/>
  <c r="V123" i="1"/>
  <c r="G123" i="1"/>
  <c r="F123" i="1"/>
  <c r="Y122" i="1"/>
  <c r="X122" i="1"/>
  <c r="W122" i="1"/>
  <c r="V122" i="1"/>
  <c r="G122" i="1"/>
  <c r="F122" i="1"/>
  <c r="Y121" i="1"/>
  <c r="X121" i="1"/>
  <c r="W121" i="1"/>
  <c r="V121" i="1"/>
  <c r="G121" i="1"/>
  <c r="F121" i="1"/>
  <c r="Y120" i="1"/>
  <c r="X120" i="1"/>
  <c r="W120" i="1"/>
  <c r="V120" i="1"/>
  <c r="G120" i="1"/>
  <c r="F120" i="1"/>
  <c r="Y119" i="1"/>
  <c r="X119" i="1"/>
  <c r="W119" i="1"/>
  <c r="V119" i="1"/>
  <c r="G119" i="1"/>
  <c r="F119" i="1"/>
  <c r="Y118" i="1"/>
  <c r="X118" i="1"/>
  <c r="W118" i="1"/>
  <c r="V118" i="1"/>
  <c r="G118" i="1"/>
  <c r="F118" i="1"/>
  <c r="Y117" i="1"/>
  <c r="X117" i="1"/>
  <c r="W117" i="1"/>
  <c r="V117" i="1"/>
  <c r="G117" i="1"/>
  <c r="F117" i="1"/>
  <c r="Y116" i="1"/>
  <c r="X116" i="1"/>
  <c r="W116" i="1"/>
  <c r="V116" i="1"/>
  <c r="G116" i="1"/>
  <c r="F116" i="1"/>
  <c r="Y115" i="1"/>
  <c r="X115" i="1"/>
  <c r="W115" i="1"/>
  <c r="V115" i="1"/>
  <c r="G115" i="1"/>
  <c r="F115" i="1"/>
  <c r="Y114" i="1"/>
  <c r="X114" i="1"/>
  <c r="W114" i="1"/>
  <c r="V114" i="1"/>
  <c r="G114" i="1"/>
  <c r="F114" i="1"/>
  <c r="Y113" i="1"/>
  <c r="X113" i="1"/>
  <c r="W113" i="1"/>
  <c r="V113" i="1"/>
  <c r="G113" i="1"/>
  <c r="F113" i="1"/>
  <c r="Y112" i="1"/>
  <c r="X112" i="1"/>
  <c r="W112" i="1"/>
  <c r="V112" i="1"/>
  <c r="G112" i="1"/>
  <c r="F112" i="1"/>
  <c r="Y111" i="1"/>
  <c r="X111" i="1"/>
  <c r="W111" i="1"/>
  <c r="V111" i="1"/>
  <c r="G111" i="1"/>
  <c r="F111" i="1"/>
  <c r="Y110" i="1"/>
  <c r="X110" i="1"/>
  <c r="W110" i="1"/>
  <c r="V110" i="1"/>
  <c r="G110" i="1"/>
  <c r="F110" i="1"/>
  <c r="Y109" i="1"/>
  <c r="X109" i="1"/>
  <c r="W109" i="1"/>
  <c r="V109" i="1"/>
  <c r="G109" i="1"/>
  <c r="F109" i="1"/>
  <c r="Y108" i="1"/>
  <c r="X108" i="1"/>
  <c r="W108" i="1"/>
  <c r="V108" i="1"/>
  <c r="G108" i="1"/>
  <c r="F108" i="1"/>
  <c r="Y107" i="1"/>
  <c r="X107" i="1"/>
  <c r="W107" i="1"/>
  <c r="V107" i="1"/>
  <c r="G107" i="1"/>
  <c r="F107" i="1"/>
  <c r="Y106" i="1"/>
  <c r="X106" i="1"/>
  <c r="W106" i="1"/>
  <c r="V106" i="1"/>
  <c r="G106" i="1"/>
  <c r="F106" i="1"/>
  <c r="Y105" i="1"/>
  <c r="X105" i="1"/>
  <c r="W105" i="1"/>
  <c r="V105" i="1"/>
  <c r="G105" i="1"/>
  <c r="F105" i="1"/>
  <c r="Y104" i="1"/>
  <c r="X104" i="1"/>
  <c r="W104" i="1"/>
  <c r="V104" i="1"/>
  <c r="G104" i="1"/>
  <c r="F104" i="1"/>
  <c r="Y103" i="1"/>
  <c r="X103" i="1"/>
  <c r="W103" i="1"/>
  <c r="V103" i="1"/>
  <c r="G103" i="1"/>
  <c r="F103" i="1"/>
  <c r="Y102" i="1"/>
  <c r="X102" i="1"/>
  <c r="W102" i="1"/>
  <c r="V102" i="1"/>
  <c r="G102" i="1"/>
  <c r="F102" i="1"/>
  <c r="Y101" i="1"/>
  <c r="X101" i="1"/>
  <c r="W101" i="1"/>
  <c r="V101" i="1"/>
  <c r="G101" i="1"/>
  <c r="F101" i="1"/>
  <c r="Y100" i="1"/>
  <c r="X100" i="1"/>
  <c r="W100" i="1"/>
  <c r="V100" i="1"/>
  <c r="G100" i="1"/>
  <c r="F100" i="1"/>
  <c r="Y99" i="1"/>
  <c r="X99" i="1"/>
  <c r="W99" i="1"/>
  <c r="V99" i="1"/>
  <c r="G99" i="1"/>
  <c r="F99" i="1"/>
  <c r="Y98" i="1"/>
  <c r="X98" i="1"/>
  <c r="W98" i="1"/>
  <c r="V98" i="1"/>
  <c r="G98" i="1"/>
  <c r="F98" i="1"/>
  <c r="Y97" i="1"/>
  <c r="X97" i="1"/>
  <c r="W97" i="1"/>
  <c r="V97" i="1"/>
  <c r="G97" i="1"/>
  <c r="F97" i="1"/>
  <c r="Y96" i="1"/>
  <c r="X96" i="1"/>
  <c r="W96" i="1"/>
  <c r="V96" i="1"/>
  <c r="G96" i="1"/>
  <c r="F96" i="1"/>
  <c r="Y95" i="1"/>
  <c r="X95" i="1"/>
  <c r="W95" i="1"/>
  <c r="V95" i="1"/>
  <c r="G95" i="1"/>
  <c r="F95" i="1"/>
  <c r="Y94" i="1"/>
  <c r="X94" i="1"/>
  <c r="W94" i="1"/>
  <c r="V94" i="1"/>
  <c r="G94" i="1"/>
  <c r="F94" i="1"/>
  <c r="Y93" i="1"/>
  <c r="X93" i="1"/>
  <c r="W93" i="1"/>
  <c r="V93" i="1"/>
  <c r="G93" i="1"/>
  <c r="F93" i="1"/>
  <c r="Y92" i="1"/>
  <c r="X92" i="1"/>
  <c r="W92" i="1"/>
  <c r="V92" i="1"/>
  <c r="G92" i="1"/>
  <c r="F92" i="1"/>
  <c r="Y91" i="1"/>
  <c r="X91" i="1"/>
  <c r="W91" i="1"/>
  <c r="V91" i="1"/>
  <c r="G91" i="1"/>
  <c r="F91" i="1"/>
  <c r="Y90" i="1"/>
  <c r="X90" i="1"/>
  <c r="W90" i="1"/>
  <c r="V90" i="1"/>
  <c r="G90" i="1"/>
  <c r="F90" i="1"/>
  <c r="Y89" i="1"/>
  <c r="X89" i="1"/>
  <c r="W89" i="1"/>
  <c r="V89" i="1"/>
  <c r="G89" i="1"/>
  <c r="F89" i="1"/>
  <c r="Y88" i="1"/>
  <c r="X88" i="1"/>
  <c r="W88" i="1"/>
  <c r="V88" i="1"/>
  <c r="G88" i="1"/>
  <c r="F88" i="1"/>
  <c r="Y87" i="1"/>
  <c r="X87" i="1"/>
  <c r="W87" i="1"/>
  <c r="V87" i="1"/>
  <c r="G87" i="1"/>
  <c r="F87" i="1"/>
  <c r="Y86" i="1"/>
  <c r="X86" i="1"/>
  <c r="W86" i="1"/>
  <c r="V86" i="1"/>
  <c r="G86" i="1"/>
  <c r="F86" i="1"/>
  <c r="Y85" i="1"/>
  <c r="X85" i="1"/>
  <c r="W85" i="1"/>
  <c r="V85" i="1"/>
  <c r="G85" i="1"/>
  <c r="F85" i="1"/>
  <c r="Y84" i="1"/>
  <c r="X84" i="1"/>
  <c r="W84" i="1"/>
  <c r="V84" i="1"/>
  <c r="G84" i="1"/>
  <c r="F84" i="1"/>
  <c r="Y83" i="1"/>
  <c r="X83" i="1"/>
  <c r="W83" i="1"/>
  <c r="V83" i="1"/>
  <c r="G83" i="1"/>
  <c r="F83" i="1"/>
  <c r="Y82" i="1"/>
  <c r="X82" i="1"/>
  <c r="W82" i="1"/>
  <c r="V82" i="1"/>
  <c r="G82" i="1"/>
  <c r="F82" i="1"/>
  <c r="Y81" i="1"/>
  <c r="X81" i="1"/>
  <c r="W81" i="1"/>
  <c r="V81" i="1"/>
  <c r="G81" i="1"/>
  <c r="F81" i="1"/>
  <c r="Y80" i="1"/>
  <c r="X80" i="1"/>
  <c r="W80" i="1"/>
  <c r="V80" i="1"/>
  <c r="G80" i="1"/>
  <c r="F80" i="1"/>
  <c r="Y79" i="1"/>
  <c r="X79" i="1"/>
  <c r="W79" i="1"/>
  <c r="V79" i="1"/>
  <c r="G79" i="1"/>
  <c r="F79" i="1"/>
  <c r="Y78" i="1"/>
  <c r="X78" i="1"/>
  <c r="W78" i="1"/>
  <c r="V78" i="1"/>
  <c r="G78" i="1"/>
  <c r="F78" i="1"/>
  <c r="Y77" i="1"/>
  <c r="X77" i="1"/>
  <c r="W77" i="1"/>
  <c r="V77" i="1"/>
  <c r="G77" i="1"/>
  <c r="F77" i="1"/>
  <c r="Y76" i="1"/>
  <c r="X76" i="1"/>
  <c r="W76" i="1"/>
  <c r="V76" i="1"/>
  <c r="G76" i="1"/>
  <c r="F76" i="1"/>
  <c r="Y75" i="1"/>
  <c r="X75" i="1"/>
  <c r="G75" i="1"/>
  <c r="F75" i="1"/>
  <c r="Y74" i="1"/>
  <c r="X74" i="1"/>
  <c r="W74" i="1"/>
  <c r="V74" i="1"/>
  <c r="G74" i="1"/>
  <c r="F74" i="1"/>
  <c r="Y73" i="1"/>
  <c r="X73" i="1"/>
  <c r="W73" i="1"/>
  <c r="V73" i="1"/>
  <c r="G73" i="1"/>
  <c r="F73" i="1"/>
  <c r="Y72" i="1"/>
  <c r="X72" i="1"/>
  <c r="W72" i="1"/>
  <c r="V72" i="1"/>
  <c r="G72" i="1"/>
  <c r="F72" i="1"/>
  <c r="Y71" i="1"/>
  <c r="X71" i="1"/>
  <c r="W71" i="1"/>
  <c r="V71" i="1"/>
  <c r="G71" i="1"/>
  <c r="F71" i="1"/>
  <c r="Y70" i="1"/>
  <c r="X70" i="1"/>
  <c r="W70" i="1"/>
  <c r="V70" i="1"/>
  <c r="G70" i="1"/>
  <c r="F70" i="1"/>
  <c r="Y69" i="1"/>
  <c r="X69" i="1"/>
  <c r="W69" i="1"/>
  <c r="V69" i="1"/>
  <c r="G69" i="1"/>
  <c r="F69" i="1"/>
  <c r="Y68" i="1"/>
  <c r="X68" i="1"/>
  <c r="W68" i="1"/>
  <c r="V68" i="1"/>
  <c r="G68" i="1"/>
  <c r="F68" i="1"/>
  <c r="Y67" i="1"/>
  <c r="X67" i="1"/>
  <c r="W67" i="1"/>
  <c r="V67" i="1"/>
  <c r="G67" i="1"/>
  <c r="F67" i="1"/>
  <c r="Y66" i="1"/>
  <c r="X66" i="1"/>
  <c r="W66" i="1"/>
  <c r="V66" i="1"/>
  <c r="G66" i="1"/>
  <c r="F66" i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Y65" i="1"/>
  <c r="X65" i="1"/>
  <c r="W65" i="1"/>
  <c r="V65" i="1"/>
  <c r="G65" i="1"/>
  <c r="F65" i="1"/>
  <c r="Y64" i="1"/>
  <c r="X64" i="1"/>
  <c r="W64" i="1"/>
  <c r="V64" i="1"/>
  <c r="G64" i="1"/>
  <c r="F64" i="1"/>
  <c r="Y63" i="1"/>
  <c r="X63" i="1"/>
  <c r="W63" i="1"/>
  <c r="V63" i="1"/>
  <c r="G63" i="1"/>
  <c r="F63" i="1"/>
  <c r="Y62" i="1"/>
  <c r="X62" i="1"/>
  <c r="W62" i="1"/>
  <c r="V62" i="1"/>
  <c r="G62" i="1"/>
  <c r="F62" i="1"/>
  <c r="Y61" i="1"/>
  <c r="X61" i="1"/>
  <c r="W61" i="1"/>
  <c r="V61" i="1"/>
  <c r="G61" i="1"/>
  <c r="F61" i="1"/>
  <c r="Y60" i="1"/>
  <c r="X60" i="1"/>
  <c r="W60" i="1"/>
  <c r="V60" i="1"/>
  <c r="G60" i="1"/>
  <c r="F60" i="1"/>
  <c r="Y59" i="1"/>
  <c r="X59" i="1"/>
  <c r="W59" i="1"/>
  <c r="V59" i="1"/>
  <c r="G59" i="1"/>
  <c r="F59" i="1"/>
  <c r="Y58" i="1"/>
  <c r="X58" i="1"/>
  <c r="W58" i="1"/>
  <c r="V58" i="1"/>
  <c r="G58" i="1"/>
  <c r="F58" i="1"/>
  <c r="Y57" i="1"/>
  <c r="X57" i="1"/>
  <c r="W57" i="1"/>
  <c r="V57" i="1"/>
  <c r="G57" i="1"/>
  <c r="F57" i="1"/>
  <c r="Y56" i="1"/>
  <c r="X56" i="1"/>
  <c r="W56" i="1"/>
  <c r="V56" i="1"/>
  <c r="G56" i="1"/>
  <c r="F56" i="1"/>
  <c r="Y55" i="1"/>
  <c r="X55" i="1"/>
  <c r="W55" i="1"/>
  <c r="V55" i="1"/>
  <c r="G55" i="1"/>
  <c r="F55" i="1"/>
  <c r="Y54" i="1"/>
  <c r="X54" i="1"/>
  <c r="W54" i="1"/>
  <c r="V54" i="1"/>
  <c r="G54" i="1"/>
  <c r="F54" i="1"/>
  <c r="Y53" i="1"/>
  <c r="X53" i="1"/>
  <c r="W53" i="1"/>
  <c r="V53" i="1"/>
  <c r="G53" i="1"/>
  <c r="F53" i="1"/>
  <c r="Y52" i="1"/>
  <c r="X52" i="1"/>
  <c r="W52" i="1"/>
  <c r="V52" i="1"/>
  <c r="G52" i="1"/>
  <c r="F52" i="1"/>
  <c r="Y51" i="1"/>
  <c r="X51" i="1"/>
  <c r="W51" i="1"/>
  <c r="V51" i="1"/>
  <c r="G51" i="1"/>
  <c r="F51" i="1"/>
  <c r="Y50" i="1"/>
  <c r="X50" i="1"/>
  <c r="W50" i="1"/>
  <c r="V50" i="1"/>
  <c r="G50" i="1"/>
  <c r="F50" i="1"/>
  <c r="Y49" i="1"/>
  <c r="X49" i="1"/>
  <c r="W49" i="1"/>
  <c r="V49" i="1"/>
  <c r="G49" i="1"/>
  <c r="F49" i="1"/>
  <c r="Y48" i="1"/>
  <c r="X48" i="1"/>
  <c r="W48" i="1"/>
  <c r="V48" i="1"/>
  <c r="G48" i="1"/>
  <c r="F48" i="1"/>
  <c r="Y47" i="1"/>
  <c r="X47" i="1"/>
  <c r="W47" i="1"/>
  <c r="V47" i="1"/>
  <c r="G47" i="1"/>
  <c r="F47" i="1"/>
  <c r="Y46" i="1"/>
  <c r="X46" i="1"/>
  <c r="W46" i="1"/>
  <c r="V46" i="1"/>
  <c r="G46" i="1"/>
  <c r="F46" i="1"/>
  <c r="Y45" i="1"/>
  <c r="X45" i="1"/>
  <c r="W45" i="1"/>
  <c r="V45" i="1"/>
  <c r="G45" i="1"/>
  <c r="F45" i="1"/>
  <c r="Y44" i="1"/>
  <c r="X44" i="1"/>
  <c r="W44" i="1"/>
  <c r="V44" i="1"/>
  <c r="G44" i="1"/>
  <c r="F44" i="1"/>
  <c r="Y43" i="1"/>
  <c r="X43" i="1"/>
  <c r="W43" i="1"/>
  <c r="V43" i="1"/>
  <c r="G43" i="1"/>
  <c r="F43" i="1"/>
  <c r="Y42" i="1"/>
  <c r="X42" i="1"/>
  <c r="W42" i="1"/>
  <c r="V42" i="1"/>
  <c r="G42" i="1"/>
  <c r="F42" i="1"/>
  <c r="Y41" i="1"/>
  <c r="X41" i="1"/>
  <c r="W41" i="1"/>
  <c r="V41" i="1"/>
  <c r="G41" i="1"/>
  <c r="F41" i="1"/>
  <c r="Y40" i="1"/>
  <c r="X40" i="1"/>
  <c r="W40" i="1"/>
  <c r="V40" i="1"/>
  <c r="G40" i="1"/>
  <c r="F40" i="1"/>
  <c r="Y39" i="1"/>
  <c r="X39" i="1"/>
  <c r="W39" i="1"/>
  <c r="V39" i="1"/>
  <c r="G39" i="1"/>
  <c r="F39" i="1"/>
  <c r="Y38" i="1"/>
  <c r="X38" i="1"/>
  <c r="W38" i="1"/>
  <c r="V38" i="1"/>
  <c r="G38" i="1"/>
  <c r="F38" i="1"/>
  <c r="Y37" i="1"/>
  <c r="X37" i="1"/>
  <c r="W37" i="1"/>
  <c r="V37" i="1"/>
  <c r="G37" i="1"/>
  <c r="F37" i="1"/>
  <c r="Y36" i="1"/>
  <c r="X36" i="1"/>
  <c r="W36" i="1"/>
  <c r="V36" i="1"/>
  <c r="G36" i="1"/>
  <c r="F36" i="1"/>
  <c r="Y35" i="1"/>
  <c r="X35" i="1"/>
  <c r="W35" i="1"/>
  <c r="V35" i="1"/>
  <c r="G35" i="1"/>
  <c r="F35" i="1"/>
  <c r="Y34" i="1"/>
  <c r="X34" i="1"/>
  <c r="W34" i="1"/>
  <c r="V34" i="1"/>
  <c r="G34" i="1"/>
  <c r="F34" i="1"/>
  <c r="Y33" i="1"/>
  <c r="X33" i="1"/>
  <c r="W33" i="1"/>
  <c r="V33" i="1"/>
  <c r="G33" i="1"/>
  <c r="F33" i="1"/>
  <c r="Y32" i="1"/>
  <c r="X32" i="1"/>
  <c r="W32" i="1"/>
  <c r="V32" i="1"/>
  <c r="G32" i="1"/>
  <c r="F32" i="1"/>
  <c r="Y31" i="1"/>
  <c r="X31" i="1"/>
  <c r="W31" i="1"/>
  <c r="V31" i="1"/>
  <c r="G31" i="1"/>
  <c r="F31" i="1"/>
  <c r="Y30" i="1"/>
  <c r="X30" i="1"/>
  <c r="W30" i="1"/>
  <c r="V30" i="1"/>
  <c r="G30" i="1"/>
  <c r="F30" i="1"/>
  <c r="Y29" i="1"/>
  <c r="X29" i="1"/>
  <c r="W29" i="1"/>
  <c r="V29" i="1"/>
  <c r="G29" i="1"/>
  <c r="F29" i="1"/>
  <c r="Y28" i="1"/>
  <c r="X28" i="1"/>
  <c r="W28" i="1"/>
  <c r="V28" i="1"/>
  <c r="G28" i="1"/>
  <c r="F28" i="1"/>
  <c r="Y27" i="1"/>
  <c r="X27" i="1"/>
  <c r="W27" i="1"/>
  <c r="V27" i="1"/>
  <c r="G27" i="1"/>
  <c r="F27" i="1"/>
  <c r="Y26" i="1"/>
  <c r="X26" i="1"/>
  <c r="W26" i="1"/>
  <c r="V26" i="1"/>
  <c r="G26" i="1"/>
  <c r="F26" i="1"/>
  <c r="Y25" i="1"/>
  <c r="X25" i="1"/>
  <c r="W25" i="1"/>
  <c r="V25" i="1"/>
  <c r="G25" i="1"/>
  <c r="F25" i="1"/>
  <c r="Y24" i="1"/>
  <c r="X24" i="1"/>
  <c r="W24" i="1"/>
  <c r="V24" i="1"/>
  <c r="G24" i="1"/>
  <c r="F24" i="1"/>
  <c r="Y23" i="1"/>
  <c r="X23" i="1"/>
  <c r="W23" i="1"/>
  <c r="V23" i="1"/>
  <c r="G23" i="1"/>
  <c r="F23" i="1"/>
  <c r="Y22" i="1"/>
  <c r="X22" i="1"/>
  <c r="W22" i="1"/>
  <c r="V22" i="1"/>
  <c r="G22" i="1"/>
  <c r="F22" i="1"/>
  <c r="Y21" i="1"/>
  <c r="X21" i="1"/>
  <c r="W21" i="1"/>
  <c r="V21" i="1"/>
  <c r="G21" i="1"/>
  <c r="F21" i="1"/>
  <c r="Y20" i="1"/>
  <c r="X20" i="1"/>
  <c r="W20" i="1"/>
  <c r="V20" i="1"/>
  <c r="G20" i="1"/>
  <c r="F20" i="1"/>
  <c r="Y19" i="1"/>
  <c r="X19" i="1"/>
  <c r="W19" i="1"/>
  <c r="V19" i="1"/>
  <c r="G19" i="1"/>
  <c r="F19" i="1"/>
  <c r="Y18" i="1"/>
  <c r="X18" i="1"/>
  <c r="W18" i="1"/>
  <c r="V18" i="1"/>
  <c r="G18" i="1"/>
  <c r="F18" i="1"/>
  <c r="Y17" i="1"/>
  <c r="X17" i="1"/>
  <c r="W17" i="1"/>
  <c r="V17" i="1"/>
  <c r="G17" i="1"/>
  <c r="F17" i="1"/>
  <c r="Y16" i="1"/>
  <c r="X16" i="1"/>
  <c r="W16" i="1"/>
  <c r="V16" i="1"/>
  <c r="G16" i="1"/>
  <c r="F16" i="1"/>
  <c r="Y15" i="1"/>
  <c r="X15" i="1"/>
  <c r="W15" i="1"/>
  <c r="V15" i="1"/>
  <c r="G15" i="1"/>
  <c r="F15" i="1"/>
  <c r="Y14" i="1"/>
  <c r="X14" i="1"/>
  <c r="W14" i="1"/>
  <c r="V14" i="1"/>
  <c r="G14" i="1"/>
  <c r="F14" i="1"/>
  <c r="Y13" i="1"/>
  <c r="X13" i="1"/>
  <c r="W13" i="1"/>
  <c r="V13" i="1"/>
  <c r="G13" i="1"/>
  <c r="F13" i="1"/>
  <c r="Y12" i="1"/>
  <c r="X12" i="1"/>
  <c r="W12" i="1"/>
  <c r="V12" i="1"/>
  <c r="G12" i="1"/>
  <c r="F12" i="1"/>
  <c r="Y11" i="1"/>
  <c r="X11" i="1"/>
  <c r="W11" i="1"/>
  <c r="V11" i="1"/>
  <c r="G11" i="1"/>
  <c r="F11" i="1"/>
  <c r="Y10" i="1"/>
  <c r="X10" i="1"/>
  <c r="W10" i="1"/>
  <c r="V10" i="1"/>
  <c r="G10" i="1"/>
  <c r="F10" i="1"/>
  <c r="Y9" i="1"/>
  <c r="X9" i="1"/>
  <c r="W9" i="1"/>
  <c r="V9" i="1"/>
  <c r="G9" i="1"/>
  <c r="F9" i="1"/>
  <c r="Y8" i="1"/>
  <c r="X8" i="1"/>
  <c r="W8" i="1"/>
  <c r="V8" i="1"/>
  <c r="G8" i="1"/>
  <c r="F8" i="1"/>
  <c r="Y7" i="1"/>
  <c r="X7" i="1"/>
  <c r="W7" i="1"/>
  <c r="V7" i="1"/>
  <c r="G7" i="1"/>
  <c r="F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Y6" i="1"/>
  <c r="X6" i="1"/>
  <c r="W6" i="1"/>
  <c r="V6" i="1"/>
  <c r="G6" i="1"/>
  <c r="F6" i="1"/>
  <c r="A6" i="1"/>
  <c r="Y5" i="1"/>
  <c r="X5" i="1"/>
  <c r="W5" i="1"/>
  <c r="V5" i="1"/>
  <c r="G5" i="1"/>
  <c r="F5" i="1"/>
  <c r="A5" i="1"/>
  <c r="Y4" i="1"/>
  <c r="X4" i="1"/>
  <c r="W4" i="1"/>
  <c r="V4" i="1"/>
  <c r="G4" i="1"/>
  <c r="F4" i="1"/>
</calcChain>
</file>

<file path=xl/sharedStrings.xml><?xml version="1.0" encoding="utf-8"?>
<sst xmlns="http://schemas.openxmlformats.org/spreadsheetml/2006/main" count="1498" uniqueCount="225">
  <si>
    <t>NASTUPI ZA REPREZENTACIJU- SVIH IGRAČA KOJI SU IGRALI U PARTIZANU  (posle EP 2025g)</t>
  </si>
  <si>
    <t>PREZIME</t>
  </si>
  <si>
    <t>IME</t>
  </si>
  <si>
    <t>IGRAO</t>
  </si>
  <si>
    <t>UKUPNO</t>
  </si>
  <si>
    <t>Olimpijade</t>
  </si>
  <si>
    <t xml:space="preserve">Svetska </t>
  </si>
  <si>
    <t xml:space="preserve">Evropska </t>
  </si>
  <si>
    <t>Kvalifikac</t>
  </si>
  <si>
    <t>Mediteran</t>
  </si>
  <si>
    <t>Balkanija</t>
  </si>
  <si>
    <t>Prijateljske</t>
  </si>
  <si>
    <t>ZVANIČNE</t>
  </si>
  <si>
    <t>OI+SP+EP</t>
  </si>
  <si>
    <t>od</t>
  </si>
  <si>
    <t>do</t>
  </si>
  <si>
    <t>utak</t>
  </si>
  <si>
    <t>poeni</t>
  </si>
  <si>
    <t>ANĐUŠIĆ</t>
  </si>
  <si>
    <t>DANILO</t>
  </si>
  <si>
    <t>AVDALOVIĆ</t>
  </si>
  <si>
    <t>VULE</t>
  </si>
  <si>
    <t>AVRAMOVIĆ</t>
  </si>
  <si>
    <t>ALEKSA</t>
  </si>
  <si>
    <t>BALABAN</t>
  </si>
  <si>
    <t>DARKO</t>
  </si>
  <si>
    <t>BERAVS</t>
  </si>
  <si>
    <t>BORIS</t>
  </si>
  <si>
    <t>BERIĆ</t>
  </si>
  <si>
    <t>MIROSLAV</t>
  </si>
  <si>
    <t>BIRČEVIĆ</t>
  </si>
  <si>
    <t>STEFAN</t>
  </si>
  <si>
    <t>BLAGOJEVIĆ</t>
  </si>
  <si>
    <t>MILAN</t>
  </si>
  <si>
    <t>BOGDANOVIĆ</t>
  </si>
  <si>
    <t>LUKA</t>
  </si>
  <si>
    <t>BOGDAN</t>
  </si>
  <si>
    <t>BOJOVIĆ</t>
  </si>
  <si>
    <t>MILOŠ</t>
  </si>
  <si>
    <t>BRKIĆ</t>
  </si>
  <si>
    <t>HARIS</t>
  </si>
  <si>
    <t>BUKUMIROVIĆ</t>
  </si>
  <si>
    <t>NEBOJŠA</t>
  </si>
  <si>
    <t>BULATOVIĆ</t>
  </si>
  <si>
    <t>NIKOLA</t>
  </si>
  <si>
    <t>ČANAK</t>
  </si>
  <si>
    <t>NENAD</t>
  </si>
  <si>
    <t>ČERMAK</t>
  </si>
  <si>
    <t>DRAGUTIN</t>
  </si>
  <si>
    <t>ČUBRILO</t>
  </si>
  <si>
    <t>ALEKSANDAR</t>
  </si>
  <si>
    <t>ĆURČIĆ</t>
  </si>
  <si>
    <t>BORISLAV</t>
  </si>
  <si>
    <t>CVJETIČANIN</t>
  </si>
  <si>
    <t>DANKO</t>
  </si>
  <si>
    <t>DALIPAGIĆ</t>
  </si>
  <si>
    <t>DRAŽEN</t>
  </si>
  <si>
    <t>DANGUBIĆ</t>
  </si>
  <si>
    <t>NEMANJA</t>
  </si>
  <si>
    <t>DANILOVIĆ</t>
  </si>
  <si>
    <t>PREDRAG</t>
  </si>
  <si>
    <t>DIVAC</t>
  </si>
  <si>
    <t>VLADE</t>
  </si>
  <si>
    <t>ĐOKIĆ</t>
  </si>
  <si>
    <t>VLADIMIR</t>
  </si>
  <si>
    <t>ĐORĐEVIĆ</t>
  </si>
  <si>
    <t>DRAGUTINOVIĆ</t>
  </si>
  <si>
    <t>VLADA</t>
  </si>
  <si>
    <t>DROBNJAK</t>
  </si>
  <si>
    <t>ĐUKIĆ</t>
  </si>
  <si>
    <t>DRAGAN</t>
  </si>
  <si>
    <t>ENGLER</t>
  </si>
  <si>
    <t>LAJOŠ</t>
  </si>
  <si>
    <t>FARČIĆ</t>
  </si>
  <si>
    <t>JOSIP</t>
  </si>
  <si>
    <t>GAGIĆ</t>
  </si>
  <si>
    <t>ĐORĐE</t>
  </si>
  <si>
    <t>GAJIĆ</t>
  </si>
  <si>
    <t>GILIĆ</t>
  </si>
  <si>
    <t>GLINTIĆ</t>
  </si>
  <si>
    <t>GRBOVIĆ</t>
  </si>
  <si>
    <t>GORAN</t>
  </si>
  <si>
    <t>GRKINIĆ</t>
  </si>
  <si>
    <t>BOŽO</t>
  </si>
  <si>
    <t>GUROVIĆ</t>
  </si>
  <si>
    <t>IVANOVIĆ</t>
  </si>
  <si>
    <t>MARKO</t>
  </si>
  <si>
    <t>JANJIĆ</t>
  </si>
  <si>
    <t>JOVAN</t>
  </si>
  <si>
    <t>JANKOVIĆ</t>
  </si>
  <si>
    <t>BLAGOJE</t>
  </si>
  <si>
    <t>JARAMAZ</t>
  </si>
  <si>
    <t>OGNJEN</t>
  </si>
  <si>
    <t>JELIĆ</t>
  </si>
  <si>
    <t>SLOBODAN</t>
  </si>
  <si>
    <t>JOVANOVIĆ</t>
  </si>
  <si>
    <t>KATIĆ</t>
  </si>
  <si>
    <t>RAŠKO</t>
  </si>
  <si>
    <t>KECMAN</t>
  </si>
  <si>
    <t>DUŠAN</t>
  </si>
  <si>
    <t>KERKEZ</t>
  </si>
  <si>
    <t>KIĆANOVIĆ</t>
  </si>
  <si>
    <t>KOPRIVICA</t>
  </si>
  <si>
    <t>SLAVIŠA</t>
  </si>
  <si>
    <t>BALŠA</t>
  </si>
  <si>
    <t>KOTUROVIĆ</t>
  </si>
  <si>
    <t>DEJAN</t>
  </si>
  <si>
    <t>KOVAČEVIĆ</t>
  </si>
  <si>
    <t>ZLATKO</t>
  </si>
  <si>
    <t>KRIŽAN</t>
  </si>
  <si>
    <t>KRSTIĆ</t>
  </si>
  <si>
    <t>LAKIĆ</t>
  </si>
  <si>
    <t>ARIJAN</t>
  </si>
  <si>
    <t>LATIFIĆ</t>
  </si>
  <si>
    <t>LAZIĆ</t>
  </si>
  <si>
    <t>LOCI</t>
  </si>
  <si>
    <t>VILMOŠ</t>
  </si>
  <si>
    <t>LONČAR</t>
  </si>
  <si>
    <t>LUČIĆ</t>
  </si>
  <si>
    <t>LUKOVSKI</t>
  </si>
  <si>
    <t>MAČVAN</t>
  </si>
  <si>
    <t>MAJSTOROVIĆ</t>
  </si>
  <si>
    <t>MARIĆ</t>
  </si>
  <si>
    <t>MIODRAG</t>
  </si>
  <si>
    <t>MARINKOVIĆ</t>
  </si>
  <si>
    <t>VANJA</t>
  </si>
  <si>
    <t>MARJANOVIĆ</t>
  </si>
  <si>
    <t>MIRKO</t>
  </si>
  <si>
    <t>MICOV</t>
  </si>
  <si>
    <t>MILETIĆ</t>
  </si>
  <si>
    <t>MILOJEVIĆ</t>
  </si>
  <si>
    <t>MILOSAVLJEVIĆ</t>
  </si>
  <si>
    <t>MILUTINOV</t>
  </si>
  <si>
    <t>MIŠKOVIĆ</t>
  </si>
  <si>
    <t>MUNĆAN</t>
  </si>
  <si>
    <t>BOŽIDAR</t>
  </si>
  <si>
    <t>MUSLI</t>
  </si>
  <si>
    <t>NAKIĆ</t>
  </si>
  <si>
    <t>IVO</t>
  </si>
  <si>
    <t>MARIO</t>
  </si>
  <si>
    <t>NIKOLIĆ</t>
  </si>
  <si>
    <t>NOVAKOVIĆ</t>
  </si>
  <si>
    <t>MILENKO</t>
  </si>
  <si>
    <t>OBRADOVIĆ</t>
  </si>
  <si>
    <t>ŽELJKO</t>
  </si>
  <si>
    <t>OSTOJIĆ</t>
  </si>
  <si>
    <t>ĐURO</t>
  </si>
  <si>
    <t>PAJOVIĆ</t>
  </si>
  <si>
    <t>GAVRILO</t>
  </si>
  <si>
    <t>PASPALJ</t>
  </si>
  <si>
    <t>ŽARKO</t>
  </si>
  <si>
    <t>PAUNIĆ</t>
  </si>
  <si>
    <t>IVAN</t>
  </si>
  <si>
    <t>PAVLOVIĆ</t>
  </si>
  <si>
    <t>PECARSKI</t>
  </si>
  <si>
    <t>PEROVIĆ</t>
  </si>
  <si>
    <t>KOSTA</t>
  </si>
  <si>
    <t>PEŠIĆ</t>
  </si>
  <si>
    <t>ARSENIJE</t>
  </si>
  <si>
    <t>PETROVIĆ</t>
  </si>
  <si>
    <t>BOBAN</t>
  </si>
  <si>
    <t>VESELIN</t>
  </si>
  <si>
    <t xml:space="preserve">POKUŠEVSKI </t>
  </si>
  <si>
    <t>ALEKSEJ</t>
  </si>
  <si>
    <t>POPOVIĆ</t>
  </si>
  <si>
    <t>BRANIMIR</t>
  </si>
  <si>
    <t>POT</t>
  </si>
  <si>
    <t>RADOJČIĆ</t>
  </si>
  <si>
    <t>RADOŠEVIĆ</t>
  </si>
  <si>
    <t>RADOVIĆ</t>
  </si>
  <si>
    <t>BRANKO</t>
  </si>
  <si>
    <t>RADOVAN</t>
  </si>
  <si>
    <t>RADULJICA</t>
  </si>
  <si>
    <t>RADUNOVIĆ</t>
  </si>
  <si>
    <t>SAŠA</t>
  </si>
  <si>
    <t>RAŠIĆ</t>
  </si>
  <si>
    <t>REBRAČA</t>
  </si>
  <si>
    <t>ŠAPER</t>
  </si>
  <si>
    <t>RADOMIR</t>
  </si>
  <si>
    <t>SAVOVIĆ</t>
  </si>
  <si>
    <t>ŠĆEPANOVIĆ</t>
  </si>
  <si>
    <t>VLADO</t>
  </si>
  <si>
    <t>ŠIJAČIĆ</t>
  </si>
  <si>
    <t>ŠILOBAD</t>
  </si>
  <si>
    <t>MLAĐAN</t>
  </si>
  <si>
    <t>SLAVNIĆ</t>
  </si>
  <si>
    <t>ZORAN</t>
  </si>
  <si>
    <t>SMAILAGIĆ</t>
  </si>
  <si>
    <t>ALEN</t>
  </si>
  <si>
    <t>SMILJANIĆ</t>
  </si>
  <si>
    <t>SRETENOVIĆ</t>
  </si>
  <si>
    <t>STANKOVIĆ</t>
  </si>
  <si>
    <t>STANOJEVIĆ</t>
  </si>
  <si>
    <t>JOVO</t>
  </si>
  <si>
    <t>STEVANOVIĆ</t>
  </si>
  <si>
    <t>STOJIČEVIĆ</t>
  </si>
  <si>
    <t>ČEDOMIR</t>
  </si>
  <si>
    <t>TEPIĆ</t>
  </si>
  <si>
    <t>TODORIĆ</t>
  </si>
  <si>
    <t>TOMAŠEVIĆ</t>
  </si>
  <si>
    <t>TRIFUNOVIĆ</t>
  </si>
  <si>
    <t>UROŠ</t>
  </si>
  <si>
    <t>TRIPKOVIĆ</t>
  </si>
  <si>
    <t>VARDA</t>
  </si>
  <si>
    <t>RATKO</t>
  </si>
  <si>
    <t>VELIČKOVIĆ</t>
  </si>
  <si>
    <t>NOVICA</t>
  </si>
  <si>
    <t>VILFAN</t>
  </si>
  <si>
    <t>PETER</t>
  </si>
  <si>
    <t>VUJAČIĆ</t>
  </si>
  <si>
    <t>JADRAN</t>
  </si>
  <si>
    <t>VUJANIĆ</t>
  </si>
  <si>
    <t>VUKČEVIĆ</t>
  </si>
  <si>
    <t>TRISTAN</t>
  </si>
  <si>
    <t>ZAGORAC</t>
  </si>
  <si>
    <t>RADE</t>
  </si>
  <si>
    <t>ZORKIĆ</t>
  </si>
  <si>
    <t>ALKSANDAR</t>
  </si>
  <si>
    <t>REDOSLED IGRAČA PARTIZANA PREMA BROJU UTAKMICA ZA REPREZENTACIJU</t>
  </si>
  <si>
    <t>REDOSLED IGRAČA PARTIZANA PREMABROJU KOŠEVA ZA REPREZENTACIJU</t>
  </si>
  <si>
    <t>PROSEK</t>
  </si>
  <si>
    <t>REDOSLED IGRAČA PARTIZANA PREMA PROSEKU KOŠEVA ZA REPREZENTACIJU</t>
  </si>
  <si>
    <t>REDOSLED IGRAČA PARTIZANA PREMA BROJU UTAKMICA NA OI+SP+EP</t>
  </si>
  <si>
    <t>REDOSLED IGRAČA PARTIZANA PREMA BROJU KOŠEVA NA OI+SP+EP</t>
  </si>
  <si>
    <t>REDOSLED IGRAČA PARTIZANA PREMA PROSEKU KOŠEVA NA OI+SP+EP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</si>
</sst>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b/>
      <sz val="11"/>
      <name val="Arial"/>
      <family val="2"/>
      <charset val="238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name val="Arial"/>
      <family val="2"/>
      <charset val="238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19" xfId="0" applyFont="1" applyBorder="1"/>
    <xf numFmtId="0" fontId="1" fillId="0" borderId="23" xfId="0" applyFont="1" applyBorder="1"/>
    <xf numFmtId="0" fontId="1" fillId="0" borderId="18" xfId="0" applyFont="1" applyBorder="1"/>
    <xf numFmtId="0" fontId="1" fillId="0" borderId="17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8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29" xfId="0" applyFont="1" applyBorder="1"/>
    <xf numFmtId="0" fontId="2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9" xfId="0" applyFont="1" applyBorder="1"/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8" fillId="0" borderId="15" xfId="0" applyFont="1" applyBorder="1" applyAlignment="1">
      <alignment horizontal="center"/>
    </xf>
    <xf numFmtId="0" fontId="7" fillId="0" borderId="20" xfId="0" applyFont="1" applyBorder="1"/>
    <xf numFmtId="0" fontId="9" fillId="0" borderId="17" xfId="0" applyFont="1" applyBorder="1"/>
    <xf numFmtId="0" fontId="1" fillId="0" borderId="35" xfId="0" applyFont="1" applyBorder="1"/>
    <xf numFmtId="0" fontId="7" fillId="0" borderId="27" xfId="0" applyFont="1" applyBorder="1"/>
    <xf numFmtId="2" fontId="7" fillId="0" borderId="37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6" fillId="0" borderId="21" xfId="0" applyFont="1" applyBorder="1"/>
    <xf numFmtId="0" fontId="1" fillId="0" borderId="41" xfId="0" applyFont="1" applyBorder="1"/>
    <xf numFmtId="0" fontId="1" fillId="0" borderId="28" xfId="0" applyFont="1" applyBorder="1"/>
    <xf numFmtId="0" fontId="7" fillId="0" borderId="30" xfId="0" applyFont="1" applyBorder="1"/>
    <xf numFmtId="2" fontId="7" fillId="0" borderId="36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7" fillId="0" borderId="18" xfId="0" applyFont="1" applyBorder="1"/>
    <xf numFmtId="0" fontId="9" fillId="0" borderId="19" xfId="0" applyFont="1" applyBorder="1"/>
    <xf numFmtId="0" fontId="11" fillId="0" borderId="20" xfId="0" applyFont="1" applyBorder="1"/>
    <xf numFmtId="0" fontId="7" fillId="0" borderId="29" xfId="0" applyFont="1" applyBorder="1"/>
    <xf numFmtId="2" fontId="7" fillId="0" borderId="43" xfId="0" applyNumberFormat="1" applyFont="1" applyBorder="1" applyAlignment="1">
      <alignment horizontal="center"/>
    </xf>
    <xf numFmtId="2" fontId="7" fillId="0" borderId="44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4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46" xfId="0" applyFont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426A-01A5-43AF-8A69-307088E78B38}">
  <dimension ref="A1:Y745"/>
  <sheetViews>
    <sheetView tabSelected="1" topLeftCell="B1" workbookViewId="0">
      <selection activeCell="F2" sqref="F2:G2"/>
    </sheetView>
  </sheetViews>
  <sheetFormatPr defaultRowHeight="14.4" x14ac:dyDescent="0.3"/>
  <cols>
    <col min="2" max="2" width="14.109375" customWidth="1"/>
    <col min="3" max="3" width="13.77734375" customWidth="1"/>
  </cols>
  <sheetData>
    <row r="1" spans="1:25" ht="20.399999999999999" customHeight="1" thickBot="1" x14ac:dyDescent="0.3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x14ac:dyDescent="0.3">
      <c r="A2" s="2"/>
      <c r="B2" s="45" t="s">
        <v>1</v>
      </c>
      <c r="C2" s="47" t="s">
        <v>2</v>
      </c>
      <c r="D2" s="3" t="s">
        <v>3</v>
      </c>
      <c r="E2" s="4"/>
      <c r="F2" s="5" t="s">
        <v>4</v>
      </c>
      <c r="G2" s="6"/>
      <c r="H2" s="5" t="s">
        <v>5</v>
      </c>
      <c r="I2" s="7"/>
      <c r="J2" s="8" t="s">
        <v>6</v>
      </c>
      <c r="K2" s="6"/>
      <c r="L2" s="5" t="s">
        <v>7</v>
      </c>
      <c r="M2" s="7"/>
      <c r="N2" s="8" t="s">
        <v>8</v>
      </c>
      <c r="O2" s="6"/>
      <c r="P2" s="9" t="s">
        <v>9</v>
      </c>
      <c r="Q2" s="10"/>
      <c r="R2" s="8" t="s">
        <v>10</v>
      </c>
      <c r="S2" s="6"/>
      <c r="T2" s="5" t="s">
        <v>11</v>
      </c>
      <c r="U2" s="7"/>
      <c r="V2" s="5" t="s">
        <v>12</v>
      </c>
      <c r="W2" s="7"/>
      <c r="X2" s="5" t="s">
        <v>13</v>
      </c>
      <c r="Y2" s="7"/>
    </row>
    <row r="3" spans="1:25" ht="15" thickBot="1" x14ac:dyDescent="0.35">
      <c r="A3" s="2"/>
      <c r="B3" s="46"/>
      <c r="C3" s="48"/>
      <c r="D3" s="11" t="s">
        <v>14</v>
      </c>
      <c r="E3" s="12" t="s">
        <v>15</v>
      </c>
      <c r="F3" s="13" t="s">
        <v>16</v>
      </c>
      <c r="G3" s="14" t="s">
        <v>17</v>
      </c>
      <c r="H3" s="13" t="s">
        <v>16</v>
      </c>
      <c r="I3" s="15" t="s">
        <v>17</v>
      </c>
      <c r="J3" s="16" t="s">
        <v>16</v>
      </c>
      <c r="K3" s="14" t="s">
        <v>17</v>
      </c>
      <c r="L3" s="13" t="s">
        <v>16</v>
      </c>
      <c r="M3" s="15" t="s">
        <v>17</v>
      </c>
      <c r="N3" s="16" t="s">
        <v>16</v>
      </c>
      <c r="O3" s="14" t="s">
        <v>17</v>
      </c>
      <c r="P3" s="13" t="s">
        <v>16</v>
      </c>
      <c r="Q3" s="15" t="s">
        <v>17</v>
      </c>
      <c r="R3" s="16" t="s">
        <v>16</v>
      </c>
      <c r="S3" s="14" t="s">
        <v>17</v>
      </c>
      <c r="T3" s="13" t="s">
        <v>16</v>
      </c>
      <c r="U3" s="15" t="s">
        <v>17</v>
      </c>
      <c r="V3" s="13" t="s">
        <v>16</v>
      </c>
      <c r="W3" s="15" t="s">
        <v>17</v>
      </c>
      <c r="X3" s="13" t="s">
        <v>16</v>
      </c>
      <c r="Y3" s="15" t="s">
        <v>17</v>
      </c>
    </row>
    <row r="4" spans="1:25" x14ac:dyDescent="0.3">
      <c r="A4" s="1">
        <v>1</v>
      </c>
      <c r="B4" s="17" t="s">
        <v>18</v>
      </c>
      <c r="C4" s="18" t="s">
        <v>19</v>
      </c>
      <c r="D4" s="19">
        <v>2012</v>
      </c>
      <c r="E4" s="20">
        <v>2022</v>
      </c>
      <c r="F4" s="21">
        <f t="shared" ref="F4:G21" si="0">H4+J4+L4+N4+P4+R4+T4</f>
        <v>51</v>
      </c>
      <c r="G4" s="22">
        <f t="shared" si="0"/>
        <v>421</v>
      </c>
      <c r="H4" s="23"/>
      <c r="I4" s="20"/>
      <c r="J4" s="24"/>
      <c r="K4" s="21"/>
      <c r="L4" s="23">
        <v>11</v>
      </c>
      <c r="M4" s="20">
        <v>41</v>
      </c>
      <c r="N4" s="21">
        <v>18</v>
      </c>
      <c r="O4" s="22">
        <v>213</v>
      </c>
      <c r="P4" s="23"/>
      <c r="Q4" s="20"/>
      <c r="R4" s="24"/>
      <c r="S4" s="21"/>
      <c r="T4" s="23">
        <v>22</v>
      </c>
      <c r="U4" s="25">
        <v>167</v>
      </c>
      <c r="V4" s="23">
        <f t="shared" ref="V4:W21" si="1">H4+J4+L4+N4+P4+R4</f>
        <v>29</v>
      </c>
      <c r="W4" s="25">
        <f t="shared" si="1"/>
        <v>254</v>
      </c>
      <c r="X4" s="23">
        <f t="shared" ref="X4:Y21" si="2">H4+J4+L4</f>
        <v>11</v>
      </c>
      <c r="Y4" s="25">
        <f t="shared" si="2"/>
        <v>41</v>
      </c>
    </row>
    <row r="5" spans="1:25" x14ac:dyDescent="0.3">
      <c r="A5" s="1">
        <f>A4+1</f>
        <v>2</v>
      </c>
      <c r="B5" s="17" t="s">
        <v>20</v>
      </c>
      <c r="C5" s="18" t="s">
        <v>21</v>
      </c>
      <c r="D5" s="19">
        <v>2003</v>
      </c>
      <c r="E5" s="20">
        <v>2006</v>
      </c>
      <c r="F5" s="21">
        <f t="shared" si="0"/>
        <v>56</v>
      </c>
      <c r="G5" s="22">
        <f t="shared" si="0"/>
        <v>181</v>
      </c>
      <c r="H5" s="23">
        <v>6</v>
      </c>
      <c r="I5" s="20">
        <v>8</v>
      </c>
      <c r="J5" s="24">
        <v>6</v>
      </c>
      <c r="K5" s="21">
        <v>40</v>
      </c>
      <c r="L5" s="23">
        <v>11</v>
      </c>
      <c r="M5" s="20">
        <v>22</v>
      </c>
      <c r="N5" s="21"/>
      <c r="O5" s="22"/>
      <c r="P5" s="23"/>
      <c r="Q5" s="20"/>
      <c r="R5" s="24"/>
      <c r="S5" s="21"/>
      <c r="T5" s="23">
        <v>33</v>
      </c>
      <c r="U5" s="25">
        <v>111</v>
      </c>
      <c r="V5" s="23">
        <f t="shared" si="1"/>
        <v>23</v>
      </c>
      <c r="W5" s="25">
        <f t="shared" si="1"/>
        <v>70</v>
      </c>
      <c r="X5" s="23">
        <f t="shared" si="2"/>
        <v>23</v>
      </c>
      <c r="Y5" s="25">
        <f t="shared" si="2"/>
        <v>70</v>
      </c>
    </row>
    <row r="6" spans="1:25" x14ac:dyDescent="0.3">
      <c r="A6" s="1">
        <f t="shared" ref="A6:A69" si="3">A5+1</f>
        <v>3</v>
      </c>
      <c r="B6" s="17" t="s">
        <v>22</v>
      </c>
      <c r="C6" s="18" t="s">
        <v>23</v>
      </c>
      <c r="D6" s="23">
        <v>2018</v>
      </c>
      <c r="E6" s="20">
        <v>2025</v>
      </c>
      <c r="F6" s="21">
        <f t="shared" si="0"/>
        <v>70</v>
      </c>
      <c r="G6" s="22">
        <f t="shared" si="0"/>
        <v>729</v>
      </c>
      <c r="H6" s="23">
        <v>6</v>
      </c>
      <c r="I6" s="20">
        <v>63</v>
      </c>
      <c r="J6" s="24">
        <v>8</v>
      </c>
      <c r="K6" s="21">
        <v>79</v>
      </c>
      <c r="L6" s="23">
        <v>6</v>
      </c>
      <c r="M6" s="20">
        <v>51</v>
      </c>
      <c r="N6" s="21">
        <v>28</v>
      </c>
      <c r="O6" s="22">
        <v>342</v>
      </c>
      <c r="P6" s="23"/>
      <c r="Q6" s="20"/>
      <c r="R6" s="24"/>
      <c r="S6" s="21"/>
      <c r="T6" s="23">
        <v>22</v>
      </c>
      <c r="U6" s="25">
        <v>194</v>
      </c>
      <c r="V6" s="23">
        <f t="shared" si="1"/>
        <v>48</v>
      </c>
      <c r="W6" s="25">
        <f t="shared" si="1"/>
        <v>535</v>
      </c>
      <c r="X6" s="23">
        <f t="shared" si="2"/>
        <v>20</v>
      </c>
      <c r="Y6" s="25">
        <f t="shared" si="2"/>
        <v>193</v>
      </c>
    </row>
    <row r="7" spans="1:25" x14ac:dyDescent="0.3">
      <c r="A7" s="1">
        <f t="shared" si="3"/>
        <v>4</v>
      </c>
      <c r="B7" s="17" t="s">
        <v>24</v>
      </c>
      <c r="C7" s="18" t="s">
        <v>25</v>
      </c>
      <c r="D7" s="19">
        <v>2013</v>
      </c>
      <c r="E7" s="20">
        <v>2013</v>
      </c>
      <c r="F7" s="21">
        <f t="shared" si="0"/>
        <v>4</v>
      </c>
      <c r="G7" s="22">
        <f t="shared" si="0"/>
        <v>37</v>
      </c>
      <c r="H7" s="23"/>
      <c r="I7" s="20"/>
      <c r="J7" s="24"/>
      <c r="K7" s="21"/>
      <c r="L7" s="23"/>
      <c r="M7" s="20"/>
      <c r="N7" s="21"/>
      <c r="O7" s="22"/>
      <c r="P7" s="23">
        <v>4</v>
      </c>
      <c r="Q7" s="20">
        <v>37</v>
      </c>
      <c r="R7" s="24"/>
      <c r="S7" s="21"/>
      <c r="T7" s="23"/>
      <c r="U7" s="25"/>
      <c r="V7" s="23">
        <f t="shared" si="1"/>
        <v>4</v>
      </c>
      <c r="W7" s="25">
        <f t="shared" si="1"/>
        <v>37</v>
      </c>
      <c r="X7" s="23">
        <f t="shared" si="2"/>
        <v>0</v>
      </c>
      <c r="Y7" s="25">
        <f t="shared" si="2"/>
        <v>0</v>
      </c>
    </row>
    <row r="8" spans="1:25" x14ac:dyDescent="0.3">
      <c r="A8" s="1">
        <f t="shared" si="3"/>
        <v>5</v>
      </c>
      <c r="B8" s="17" t="s">
        <v>26</v>
      </c>
      <c r="C8" s="18" t="s">
        <v>27</v>
      </c>
      <c r="D8" s="23">
        <v>1974</v>
      </c>
      <c r="E8" s="20">
        <v>1975</v>
      </c>
      <c r="F8" s="21">
        <f t="shared" si="0"/>
        <v>7</v>
      </c>
      <c r="G8" s="22">
        <f t="shared" si="0"/>
        <v>13</v>
      </c>
      <c r="H8" s="23"/>
      <c r="I8" s="20"/>
      <c r="J8" s="24"/>
      <c r="K8" s="21"/>
      <c r="L8" s="23"/>
      <c r="M8" s="20"/>
      <c r="N8" s="21"/>
      <c r="O8" s="22"/>
      <c r="P8" s="23"/>
      <c r="Q8" s="20"/>
      <c r="R8" s="24">
        <v>3</v>
      </c>
      <c r="S8" s="21">
        <v>8</v>
      </c>
      <c r="T8" s="23">
        <v>4</v>
      </c>
      <c r="U8" s="25">
        <v>5</v>
      </c>
      <c r="V8" s="23">
        <f t="shared" si="1"/>
        <v>3</v>
      </c>
      <c r="W8" s="25">
        <f t="shared" si="1"/>
        <v>8</v>
      </c>
      <c r="X8" s="23">
        <f t="shared" si="2"/>
        <v>0</v>
      </c>
      <c r="Y8" s="25">
        <f t="shared" si="2"/>
        <v>0</v>
      </c>
    </row>
    <row r="9" spans="1:25" x14ac:dyDescent="0.3">
      <c r="A9" s="1">
        <f t="shared" si="3"/>
        <v>6</v>
      </c>
      <c r="B9" s="17" t="s">
        <v>28</v>
      </c>
      <c r="C9" s="18" t="s">
        <v>29</v>
      </c>
      <c r="D9" s="23">
        <v>1995</v>
      </c>
      <c r="E9" s="20">
        <v>1999</v>
      </c>
      <c r="F9" s="21">
        <f t="shared" si="0"/>
        <v>70</v>
      </c>
      <c r="G9" s="22">
        <f t="shared" si="0"/>
        <v>374</v>
      </c>
      <c r="H9" s="23">
        <v>8</v>
      </c>
      <c r="I9" s="20">
        <v>34</v>
      </c>
      <c r="J9" s="24">
        <v>9</v>
      </c>
      <c r="K9" s="21">
        <v>74</v>
      </c>
      <c r="L9" s="23">
        <v>18</v>
      </c>
      <c r="M9" s="20">
        <v>61</v>
      </c>
      <c r="N9" s="21">
        <v>4</v>
      </c>
      <c r="O9" s="22">
        <v>16</v>
      </c>
      <c r="P9" s="23"/>
      <c r="Q9" s="20"/>
      <c r="R9" s="24"/>
      <c r="S9" s="21"/>
      <c r="T9" s="23">
        <v>31</v>
      </c>
      <c r="U9" s="25">
        <v>189</v>
      </c>
      <c r="V9" s="23">
        <f t="shared" si="1"/>
        <v>39</v>
      </c>
      <c r="W9" s="25">
        <f t="shared" si="1"/>
        <v>185</v>
      </c>
      <c r="X9" s="23">
        <f t="shared" si="2"/>
        <v>35</v>
      </c>
      <c r="Y9" s="25">
        <f t="shared" si="2"/>
        <v>169</v>
      </c>
    </row>
    <row r="10" spans="1:25" x14ac:dyDescent="0.3">
      <c r="A10" s="1">
        <f t="shared" si="3"/>
        <v>7</v>
      </c>
      <c r="B10" s="17" t="s">
        <v>30</v>
      </c>
      <c r="C10" s="18" t="s">
        <v>31</v>
      </c>
      <c r="D10" s="19">
        <v>2009</v>
      </c>
      <c r="E10" s="20">
        <v>2019</v>
      </c>
      <c r="F10" s="21">
        <f t="shared" si="0"/>
        <v>83</v>
      </c>
      <c r="G10" s="22">
        <f t="shared" si="0"/>
        <v>364</v>
      </c>
      <c r="H10" s="23">
        <v>8</v>
      </c>
      <c r="I10" s="20">
        <v>12</v>
      </c>
      <c r="J10" s="24">
        <v>17</v>
      </c>
      <c r="K10" s="21">
        <v>56</v>
      </c>
      <c r="L10" s="23">
        <v>9</v>
      </c>
      <c r="M10" s="20">
        <v>22</v>
      </c>
      <c r="N10" s="21">
        <v>11</v>
      </c>
      <c r="O10" s="22">
        <v>92</v>
      </c>
      <c r="P10" s="23">
        <v>6</v>
      </c>
      <c r="Q10" s="20">
        <v>18</v>
      </c>
      <c r="R10" s="24"/>
      <c r="S10" s="21"/>
      <c r="T10" s="23">
        <v>32</v>
      </c>
      <c r="U10" s="25">
        <v>164</v>
      </c>
      <c r="V10" s="23">
        <f t="shared" si="1"/>
        <v>51</v>
      </c>
      <c r="W10" s="25">
        <f t="shared" si="1"/>
        <v>200</v>
      </c>
      <c r="X10" s="23">
        <f t="shared" si="2"/>
        <v>34</v>
      </c>
      <c r="Y10" s="25">
        <f t="shared" si="2"/>
        <v>90</v>
      </c>
    </row>
    <row r="11" spans="1:25" x14ac:dyDescent="0.3">
      <c r="A11" s="1">
        <f t="shared" si="3"/>
        <v>8</v>
      </c>
      <c r="B11" s="26" t="s">
        <v>32</v>
      </c>
      <c r="C11" s="25" t="s">
        <v>33</v>
      </c>
      <c r="D11" s="23">
        <v>1951</v>
      </c>
      <c r="E11" s="20">
        <v>1954</v>
      </c>
      <c r="F11" s="21">
        <f t="shared" si="0"/>
        <v>12</v>
      </c>
      <c r="G11" s="22">
        <f t="shared" si="0"/>
        <v>30</v>
      </c>
      <c r="H11" s="23"/>
      <c r="I11" s="20"/>
      <c r="J11" s="24">
        <v>5</v>
      </c>
      <c r="K11" s="21">
        <v>14</v>
      </c>
      <c r="L11" s="23"/>
      <c r="M11" s="20"/>
      <c r="N11" s="21"/>
      <c r="O11" s="22"/>
      <c r="P11" s="23"/>
      <c r="Q11" s="20"/>
      <c r="R11" s="24"/>
      <c r="S11" s="21"/>
      <c r="T11" s="23">
        <v>7</v>
      </c>
      <c r="U11" s="25">
        <v>16</v>
      </c>
      <c r="V11" s="23">
        <f t="shared" si="1"/>
        <v>5</v>
      </c>
      <c r="W11" s="25">
        <f t="shared" si="1"/>
        <v>14</v>
      </c>
      <c r="X11" s="23">
        <f t="shared" si="2"/>
        <v>5</v>
      </c>
      <c r="Y11" s="25">
        <f t="shared" si="2"/>
        <v>14</v>
      </c>
    </row>
    <row r="12" spans="1:25" x14ac:dyDescent="0.3">
      <c r="A12" s="1">
        <f t="shared" si="3"/>
        <v>9</v>
      </c>
      <c r="B12" s="17" t="s">
        <v>34</v>
      </c>
      <c r="C12" s="18" t="s">
        <v>35</v>
      </c>
      <c r="D12" s="19">
        <v>2006</v>
      </c>
      <c r="E12" s="20">
        <v>2008</v>
      </c>
      <c r="F12" s="21">
        <f t="shared" si="0"/>
        <v>21</v>
      </c>
      <c r="G12" s="22">
        <f t="shared" si="0"/>
        <v>78</v>
      </c>
      <c r="H12" s="23"/>
      <c r="I12" s="20"/>
      <c r="J12" s="24"/>
      <c r="K12" s="21"/>
      <c r="L12" s="23"/>
      <c r="M12" s="20"/>
      <c r="N12" s="21">
        <v>5</v>
      </c>
      <c r="O12" s="22">
        <v>19</v>
      </c>
      <c r="P12" s="23"/>
      <c r="Q12" s="20"/>
      <c r="R12" s="24"/>
      <c r="S12" s="21"/>
      <c r="T12" s="23">
        <v>16</v>
      </c>
      <c r="U12" s="25">
        <v>59</v>
      </c>
      <c r="V12" s="23">
        <f t="shared" si="1"/>
        <v>5</v>
      </c>
      <c r="W12" s="25">
        <f t="shared" si="1"/>
        <v>19</v>
      </c>
      <c r="X12" s="23">
        <f t="shared" si="2"/>
        <v>0</v>
      </c>
      <c r="Y12" s="25">
        <f t="shared" si="2"/>
        <v>0</v>
      </c>
    </row>
    <row r="13" spans="1:25" x14ac:dyDescent="0.3">
      <c r="A13" s="1">
        <f t="shared" si="3"/>
        <v>10</v>
      </c>
      <c r="B13" s="17" t="s">
        <v>34</v>
      </c>
      <c r="C13" s="18" t="s">
        <v>36</v>
      </c>
      <c r="D13" s="19">
        <v>2013</v>
      </c>
      <c r="E13" s="20">
        <v>2025</v>
      </c>
      <c r="F13" s="21">
        <f t="shared" si="0"/>
        <v>136</v>
      </c>
      <c r="G13" s="22">
        <f t="shared" si="0"/>
        <v>1844</v>
      </c>
      <c r="H13" s="23">
        <v>14</v>
      </c>
      <c r="I13" s="20">
        <v>208</v>
      </c>
      <c r="J13" s="24">
        <v>25</v>
      </c>
      <c r="K13" s="21">
        <v>444</v>
      </c>
      <c r="L13" s="23">
        <v>31</v>
      </c>
      <c r="M13" s="20">
        <v>385</v>
      </c>
      <c r="N13" s="21">
        <v>6</v>
      </c>
      <c r="O13" s="22">
        <v>93</v>
      </c>
      <c r="P13" s="23"/>
      <c r="Q13" s="20"/>
      <c r="R13" s="24"/>
      <c r="S13" s="21"/>
      <c r="T13" s="23">
        <v>60</v>
      </c>
      <c r="U13" s="25">
        <v>714</v>
      </c>
      <c r="V13" s="23">
        <f t="shared" si="1"/>
        <v>76</v>
      </c>
      <c r="W13" s="25">
        <f t="shared" si="1"/>
        <v>1130</v>
      </c>
      <c r="X13" s="23">
        <f t="shared" si="2"/>
        <v>70</v>
      </c>
      <c r="Y13" s="25">
        <f t="shared" si="2"/>
        <v>1037</v>
      </c>
    </row>
    <row r="14" spans="1:25" x14ac:dyDescent="0.3">
      <c r="A14" s="1">
        <f t="shared" si="3"/>
        <v>11</v>
      </c>
      <c r="B14" s="26" t="s">
        <v>37</v>
      </c>
      <c r="C14" s="25" t="s">
        <v>38</v>
      </c>
      <c r="D14" s="23">
        <v>1960</v>
      </c>
      <c r="E14" s="20">
        <v>1965</v>
      </c>
      <c r="F14" s="21">
        <f t="shared" si="0"/>
        <v>52</v>
      </c>
      <c r="G14" s="22">
        <f t="shared" si="0"/>
        <v>113</v>
      </c>
      <c r="H14" s="23"/>
      <c r="I14" s="20"/>
      <c r="J14" s="24"/>
      <c r="K14" s="21"/>
      <c r="L14" s="23">
        <v>18</v>
      </c>
      <c r="M14" s="20">
        <v>78</v>
      </c>
      <c r="N14" s="21"/>
      <c r="O14" s="22"/>
      <c r="P14" s="23"/>
      <c r="Q14" s="20"/>
      <c r="R14" s="24">
        <v>15</v>
      </c>
      <c r="S14" s="21">
        <v>20</v>
      </c>
      <c r="T14" s="23">
        <v>19</v>
      </c>
      <c r="U14" s="25">
        <v>15</v>
      </c>
      <c r="V14" s="23">
        <f t="shared" si="1"/>
        <v>33</v>
      </c>
      <c r="W14" s="25">
        <f t="shared" si="1"/>
        <v>98</v>
      </c>
      <c r="X14" s="23">
        <f t="shared" si="2"/>
        <v>18</v>
      </c>
      <c r="Y14" s="25">
        <f t="shared" si="2"/>
        <v>78</v>
      </c>
    </row>
    <row r="15" spans="1:25" x14ac:dyDescent="0.3">
      <c r="A15" s="1">
        <f t="shared" si="3"/>
        <v>12</v>
      </c>
      <c r="B15" s="17" t="s">
        <v>39</v>
      </c>
      <c r="C15" s="18" t="s">
        <v>40</v>
      </c>
      <c r="D15" s="23">
        <v>1997</v>
      </c>
      <c r="E15" s="20">
        <v>1997</v>
      </c>
      <c r="F15" s="21">
        <f t="shared" si="0"/>
        <v>2</v>
      </c>
      <c r="G15" s="22">
        <f t="shared" si="0"/>
        <v>11</v>
      </c>
      <c r="H15" s="23"/>
      <c r="I15" s="20"/>
      <c r="J15" s="24"/>
      <c r="K15" s="21"/>
      <c r="L15" s="23"/>
      <c r="M15" s="20"/>
      <c r="N15" s="21"/>
      <c r="O15" s="22"/>
      <c r="P15" s="23"/>
      <c r="Q15" s="20"/>
      <c r="R15" s="24"/>
      <c r="S15" s="21"/>
      <c r="T15" s="23">
        <v>2</v>
      </c>
      <c r="U15" s="25">
        <v>11</v>
      </c>
      <c r="V15" s="23">
        <f t="shared" si="1"/>
        <v>0</v>
      </c>
      <c r="W15" s="25">
        <f t="shared" si="1"/>
        <v>0</v>
      </c>
      <c r="X15" s="23">
        <f t="shared" si="2"/>
        <v>0</v>
      </c>
      <c r="Y15" s="25">
        <f t="shared" si="2"/>
        <v>0</v>
      </c>
    </row>
    <row r="16" spans="1:25" x14ac:dyDescent="0.3">
      <c r="A16" s="1">
        <f t="shared" si="3"/>
        <v>13</v>
      </c>
      <c r="B16" s="17" t="s">
        <v>41</v>
      </c>
      <c r="C16" s="18" t="s">
        <v>42</v>
      </c>
      <c r="D16" s="23">
        <v>1983</v>
      </c>
      <c r="E16" s="20">
        <v>1983</v>
      </c>
      <c r="F16" s="21">
        <f t="shared" si="0"/>
        <v>8</v>
      </c>
      <c r="G16" s="22">
        <f t="shared" si="0"/>
        <v>5</v>
      </c>
      <c r="H16" s="23"/>
      <c r="I16" s="20"/>
      <c r="J16" s="24"/>
      <c r="K16" s="21"/>
      <c r="L16" s="23"/>
      <c r="M16" s="20"/>
      <c r="N16" s="21"/>
      <c r="O16" s="22"/>
      <c r="P16" s="23"/>
      <c r="Q16" s="20"/>
      <c r="R16" s="24"/>
      <c r="S16" s="21"/>
      <c r="T16" s="23">
        <v>8</v>
      </c>
      <c r="U16" s="25">
        <v>5</v>
      </c>
      <c r="V16" s="23">
        <f t="shared" si="1"/>
        <v>0</v>
      </c>
      <c r="W16" s="25">
        <f t="shared" si="1"/>
        <v>0</v>
      </c>
      <c r="X16" s="23">
        <f t="shared" si="2"/>
        <v>0</v>
      </c>
      <c r="Y16" s="25">
        <f t="shared" si="2"/>
        <v>0</v>
      </c>
    </row>
    <row r="17" spans="1:25" x14ac:dyDescent="0.3">
      <c r="A17" s="1">
        <f t="shared" si="3"/>
        <v>14</v>
      </c>
      <c r="B17" s="17" t="s">
        <v>43</v>
      </c>
      <c r="C17" s="18" t="s">
        <v>44</v>
      </c>
      <c r="D17" s="23">
        <v>1996</v>
      </c>
      <c r="E17" s="20">
        <v>1998</v>
      </c>
      <c r="F17" s="21">
        <f t="shared" si="0"/>
        <v>38</v>
      </c>
      <c r="G17" s="22">
        <f t="shared" si="0"/>
        <v>165</v>
      </c>
      <c r="H17" s="23"/>
      <c r="I17" s="20"/>
      <c r="J17" s="24">
        <v>9</v>
      </c>
      <c r="K17" s="21">
        <v>15</v>
      </c>
      <c r="L17" s="23">
        <v>9</v>
      </c>
      <c r="M17" s="20">
        <v>51</v>
      </c>
      <c r="N17" s="21"/>
      <c r="O17" s="22"/>
      <c r="P17" s="23"/>
      <c r="Q17" s="20"/>
      <c r="R17" s="24"/>
      <c r="S17" s="21"/>
      <c r="T17" s="23">
        <v>20</v>
      </c>
      <c r="U17" s="25">
        <v>99</v>
      </c>
      <c r="V17" s="23">
        <f t="shared" si="1"/>
        <v>18</v>
      </c>
      <c r="W17" s="25">
        <f t="shared" si="1"/>
        <v>66</v>
      </c>
      <c r="X17" s="23">
        <f t="shared" si="2"/>
        <v>18</v>
      </c>
      <c r="Y17" s="25">
        <f t="shared" si="2"/>
        <v>66</v>
      </c>
    </row>
    <row r="18" spans="1:25" x14ac:dyDescent="0.3">
      <c r="A18" s="1">
        <f t="shared" si="3"/>
        <v>15</v>
      </c>
      <c r="B18" s="17" t="s">
        <v>45</v>
      </c>
      <c r="C18" s="18" t="s">
        <v>46</v>
      </c>
      <c r="D18" s="23">
        <v>1997</v>
      </c>
      <c r="E18" s="20">
        <v>1997</v>
      </c>
      <c r="F18" s="21">
        <f t="shared" si="0"/>
        <v>6</v>
      </c>
      <c r="G18" s="22">
        <f t="shared" si="0"/>
        <v>27</v>
      </c>
      <c r="H18" s="23"/>
      <c r="I18" s="20"/>
      <c r="J18" s="24"/>
      <c r="K18" s="21"/>
      <c r="L18" s="23"/>
      <c r="M18" s="20"/>
      <c r="N18" s="21"/>
      <c r="O18" s="22"/>
      <c r="P18" s="23">
        <v>6</v>
      </c>
      <c r="Q18" s="20">
        <v>27</v>
      </c>
      <c r="R18" s="24"/>
      <c r="S18" s="21"/>
      <c r="T18" s="23"/>
      <c r="U18" s="25"/>
      <c r="V18" s="23">
        <f t="shared" si="1"/>
        <v>6</v>
      </c>
      <c r="W18" s="25">
        <f t="shared" si="1"/>
        <v>27</v>
      </c>
      <c r="X18" s="23">
        <f t="shared" si="2"/>
        <v>0</v>
      </c>
      <c r="Y18" s="25">
        <f t="shared" si="2"/>
        <v>0</v>
      </c>
    </row>
    <row r="19" spans="1:25" x14ac:dyDescent="0.3">
      <c r="A19" s="1">
        <f t="shared" si="3"/>
        <v>16</v>
      </c>
      <c r="B19" s="26" t="s">
        <v>47</v>
      </c>
      <c r="C19" s="25" t="s">
        <v>48</v>
      </c>
      <c r="D19" s="23">
        <v>1963</v>
      </c>
      <c r="E19" s="20">
        <v>1972</v>
      </c>
      <c r="F19" s="21">
        <f t="shared" si="0"/>
        <v>167</v>
      </c>
      <c r="G19" s="22">
        <f t="shared" si="0"/>
        <v>1446</v>
      </c>
      <c r="H19" s="23">
        <v>18</v>
      </c>
      <c r="I19" s="20">
        <v>141</v>
      </c>
      <c r="J19" s="24">
        <v>6</v>
      </c>
      <c r="K19" s="21">
        <v>30</v>
      </c>
      <c r="L19" s="23">
        <v>14</v>
      </c>
      <c r="M19" s="20">
        <v>99</v>
      </c>
      <c r="N19" s="21">
        <v>16</v>
      </c>
      <c r="O19" s="22">
        <v>126</v>
      </c>
      <c r="P19" s="23">
        <v>5</v>
      </c>
      <c r="Q19" s="20">
        <v>55</v>
      </c>
      <c r="R19" s="24">
        <v>23</v>
      </c>
      <c r="S19" s="21">
        <v>244</v>
      </c>
      <c r="T19" s="23">
        <v>85</v>
      </c>
      <c r="U19" s="25">
        <v>751</v>
      </c>
      <c r="V19" s="23">
        <f t="shared" si="1"/>
        <v>82</v>
      </c>
      <c r="W19" s="25">
        <f t="shared" si="1"/>
        <v>695</v>
      </c>
      <c r="X19" s="23">
        <f t="shared" si="2"/>
        <v>38</v>
      </c>
      <c r="Y19" s="25">
        <f t="shared" si="2"/>
        <v>270</v>
      </c>
    </row>
    <row r="20" spans="1:25" x14ac:dyDescent="0.3">
      <c r="A20" s="1">
        <f t="shared" si="3"/>
        <v>17</v>
      </c>
      <c r="B20" s="17" t="s">
        <v>49</v>
      </c>
      <c r="C20" s="18" t="s">
        <v>50</v>
      </c>
      <c r="D20" s="23">
        <v>1997</v>
      </c>
      <c r="E20" s="20">
        <v>1998</v>
      </c>
      <c r="F20" s="21">
        <f t="shared" si="0"/>
        <v>8</v>
      </c>
      <c r="G20" s="22">
        <f t="shared" si="0"/>
        <v>34</v>
      </c>
      <c r="H20" s="23"/>
      <c r="I20" s="20"/>
      <c r="J20" s="24"/>
      <c r="K20" s="21"/>
      <c r="L20" s="23"/>
      <c r="M20" s="20"/>
      <c r="N20" s="21"/>
      <c r="O20" s="22"/>
      <c r="P20" s="23"/>
      <c r="Q20" s="20"/>
      <c r="R20" s="24"/>
      <c r="S20" s="21"/>
      <c r="T20" s="23">
        <v>8</v>
      </c>
      <c r="U20" s="25">
        <v>34</v>
      </c>
      <c r="V20" s="23">
        <f t="shared" si="1"/>
        <v>0</v>
      </c>
      <c r="W20" s="25">
        <f t="shared" si="1"/>
        <v>0</v>
      </c>
      <c r="X20" s="23">
        <f t="shared" si="2"/>
        <v>0</v>
      </c>
      <c r="Y20" s="25">
        <f t="shared" si="2"/>
        <v>0</v>
      </c>
    </row>
    <row r="21" spans="1:25" x14ac:dyDescent="0.3">
      <c r="A21" s="1">
        <f t="shared" si="3"/>
        <v>18</v>
      </c>
      <c r="B21" s="26" t="s">
        <v>51</v>
      </c>
      <c r="C21" s="25" t="s">
        <v>52</v>
      </c>
      <c r="D21" s="23">
        <v>1952</v>
      </c>
      <c r="E21" s="20">
        <v>1955</v>
      </c>
      <c r="F21" s="21">
        <f t="shared" si="0"/>
        <v>43</v>
      </c>
      <c r="G21" s="22">
        <f t="shared" si="0"/>
        <v>465</v>
      </c>
      <c r="H21" s="23"/>
      <c r="I21" s="20"/>
      <c r="J21" s="24">
        <v>5</v>
      </c>
      <c r="K21" s="21">
        <v>57</v>
      </c>
      <c r="L21" s="23">
        <v>22</v>
      </c>
      <c r="M21" s="20">
        <v>226</v>
      </c>
      <c r="N21" s="21"/>
      <c r="O21" s="22"/>
      <c r="P21" s="23"/>
      <c r="Q21" s="20"/>
      <c r="R21" s="24"/>
      <c r="S21" s="21"/>
      <c r="T21" s="23">
        <v>16</v>
      </c>
      <c r="U21" s="25">
        <v>182</v>
      </c>
      <c r="V21" s="23">
        <f t="shared" si="1"/>
        <v>27</v>
      </c>
      <c r="W21" s="25">
        <f t="shared" si="1"/>
        <v>283</v>
      </c>
      <c r="X21" s="23">
        <f t="shared" si="2"/>
        <v>27</v>
      </c>
      <c r="Y21" s="25">
        <f t="shared" si="2"/>
        <v>283</v>
      </c>
    </row>
    <row r="22" spans="1:25" x14ac:dyDescent="0.3">
      <c r="A22" s="1">
        <f t="shared" si="3"/>
        <v>19</v>
      </c>
      <c r="B22" s="17" t="s">
        <v>53</v>
      </c>
      <c r="C22" s="18" t="s">
        <v>54</v>
      </c>
      <c r="D22" s="23">
        <v>1983</v>
      </c>
      <c r="E22" s="20">
        <v>1988</v>
      </c>
      <c r="F22" s="21">
        <f t="shared" ref="F22:G39" si="4">H22+J22+L22+N22+P22+R22+T22</f>
        <v>95</v>
      </c>
      <c r="G22" s="22">
        <f t="shared" si="4"/>
        <v>974</v>
      </c>
      <c r="H22" s="23">
        <v>8</v>
      </c>
      <c r="I22" s="20">
        <v>77</v>
      </c>
      <c r="J22" s="24">
        <v>10</v>
      </c>
      <c r="K22" s="21">
        <v>72</v>
      </c>
      <c r="L22" s="23">
        <v>8</v>
      </c>
      <c r="M22" s="20">
        <v>72</v>
      </c>
      <c r="N22" s="21">
        <v>18</v>
      </c>
      <c r="O22" s="22">
        <v>244</v>
      </c>
      <c r="P22" s="23"/>
      <c r="Q22" s="20"/>
      <c r="R22" s="24">
        <v>4</v>
      </c>
      <c r="S22" s="21">
        <v>94</v>
      </c>
      <c r="T22" s="23">
        <v>47</v>
      </c>
      <c r="U22" s="25">
        <v>415</v>
      </c>
      <c r="V22" s="23">
        <f t="shared" ref="V22:W39" si="5">H22+J22+L22+N22+P22+R22</f>
        <v>48</v>
      </c>
      <c r="W22" s="25">
        <f t="shared" si="5"/>
        <v>559</v>
      </c>
      <c r="X22" s="23">
        <f t="shared" ref="X22:Y39" si="6">H22+J22+L22</f>
        <v>26</v>
      </c>
      <c r="Y22" s="25">
        <f t="shared" si="6"/>
        <v>221</v>
      </c>
    </row>
    <row r="23" spans="1:25" x14ac:dyDescent="0.3">
      <c r="A23" s="1">
        <f t="shared" si="3"/>
        <v>20</v>
      </c>
      <c r="B23" s="17" t="s">
        <v>55</v>
      </c>
      <c r="C23" s="18" t="s">
        <v>56</v>
      </c>
      <c r="D23" s="23">
        <v>1973</v>
      </c>
      <c r="E23" s="20">
        <v>1986</v>
      </c>
      <c r="F23" s="21">
        <f t="shared" si="4"/>
        <v>246</v>
      </c>
      <c r="G23" s="22">
        <f t="shared" si="4"/>
        <v>3700</v>
      </c>
      <c r="H23" s="23">
        <v>23</v>
      </c>
      <c r="I23" s="20">
        <v>461</v>
      </c>
      <c r="J23" s="24">
        <v>36</v>
      </c>
      <c r="K23" s="21">
        <v>562</v>
      </c>
      <c r="L23" s="23">
        <v>45</v>
      </c>
      <c r="M23" s="20">
        <v>627</v>
      </c>
      <c r="N23" s="21">
        <v>13</v>
      </c>
      <c r="O23" s="22">
        <v>218</v>
      </c>
      <c r="P23" s="23">
        <v>4</v>
      </c>
      <c r="Q23" s="20">
        <v>46</v>
      </c>
      <c r="R23" s="24">
        <v>13</v>
      </c>
      <c r="S23" s="21">
        <v>234</v>
      </c>
      <c r="T23" s="23">
        <v>112</v>
      </c>
      <c r="U23" s="25">
        <v>1552</v>
      </c>
      <c r="V23" s="23">
        <f t="shared" si="5"/>
        <v>134</v>
      </c>
      <c r="W23" s="25">
        <f t="shared" si="5"/>
        <v>2148</v>
      </c>
      <c r="X23" s="23">
        <f t="shared" si="6"/>
        <v>104</v>
      </c>
      <c r="Y23" s="25">
        <f t="shared" si="6"/>
        <v>1650</v>
      </c>
    </row>
    <row r="24" spans="1:25" x14ac:dyDescent="0.3">
      <c r="A24" s="1">
        <f t="shared" si="3"/>
        <v>21</v>
      </c>
      <c r="B24" s="17" t="s">
        <v>57</v>
      </c>
      <c r="C24" s="18" t="s">
        <v>58</v>
      </c>
      <c r="D24" s="19">
        <v>2013</v>
      </c>
      <c r="E24" s="20">
        <v>2023</v>
      </c>
      <c r="F24" s="21">
        <f t="shared" si="4"/>
        <v>34</v>
      </c>
      <c r="G24" s="22">
        <f t="shared" si="4"/>
        <v>95</v>
      </c>
      <c r="H24" s="23"/>
      <c r="I24" s="20"/>
      <c r="J24" s="24"/>
      <c r="K24" s="21"/>
      <c r="L24" s="23"/>
      <c r="M24" s="20"/>
      <c r="N24" s="21">
        <v>13</v>
      </c>
      <c r="O24" s="22">
        <v>42</v>
      </c>
      <c r="P24" s="23"/>
      <c r="Q24" s="20"/>
      <c r="R24" s="24"/>
      <c r="S24" s="21"/>
      <c r="T24" s="23">
        <v>21</v>
      </c>
      <c r="U24" s="25">
        <v>53</v>
      </c>
      <c r="V24" s="23">
        <f t="shared" si="5"/>
        <v>13</v>
      </c>
      <c r="W24" s="25">
        <f t="shared" si="5"/>
        <v>42</v>
      </c>
      <c r="X24" s="23">
        <f t="shared" si="6"/>
        <v>0</v>
      </c>
      <c r="Y24" s="25">
        <f t="shared" si="6"/>
        <v>0</v>
      </c>
    </row>
    <row r="25" spans="1:25" x14ac:dyDescent="0.3">
      <c r="A25" s="1">
        <f t="shared" si="3"/>
        <v>22</v>
      </c>
      <c r="B25" s="17" t="s">
        <v>59</v>
      </c>
      <c r="C25" s="18" t="s">
        <v>60</v>
      </c>
      <c r="D25" s="23">
        <v>1988</v>
      </c>
      <c r="E25" s="20">
        <v>2000</v>
      </c>
      <c r="F25" s="21">
        <f t="shared" si="4"/>
        <v>120</v>
      </c>
      <c r="G25" s="22">
        <f t="shared" si="4"/>
        <v>1304</v>
      </c>
      <c r="H25" s="23">
        <v>15</v>
      </c>
      <c r="I25" s="20">
        <v>198</v>
      </c>
      <c r="J25" s="24"/>
      <c r="K25" s="21"/>
      <c r="L25" s="23">
        <v>37</v>
      </c>
      <c r="M25" s="20">
        <v>403</v>
      </c>
      <c r="N25" s="21">
        <v>10</v>
      </c>
      <c r="O25" s="22">
        <v>108</v>
      </c>
      <c r="P25" s="23"/>
      <c r="Q25" s="20"/>
      <c r="R25" s="24">
        <v>4</v>
      </c>
      <c r="S25" s="21">
        <v>18</v>
      </c>
      <c r="T25" s="23">
        <v>54</v>
      </c>
      <c r="U25" s="25">
        <v>577</v>
      </c>
      <c r="V25" s="23">
        <f t="shared" si="5"/>
        <v>66</v>
      </c>
      <c r="W25" s="25">
        <f t="shared" si="5"/>
        <v>727</v>
      </c>
      <c r="X25" s="23">
        <f t="shared" si="6"/>
        <v>52</v>
      </c>
      <c r="Y25" s="25">
        <f t="shared" si="6"/>
        <v>601</v>
      </c>
    </row>
    <row r="26" spans="1:25" x14ac:dyDescent="0.3">
      <c r="A26" s="1">
        <f t="shared" si="3"/>
        <v>23</v>
      </c>
      <c r="B26" s="17" t="s">
        <v>61</v>
      </c>
      <c r="C26" s="18" t="s">
        <v>62</v>
      </c>
      <c r="D26" s="19">
        <v>1985</v>
      </c>
      <c r="E26" s="20">
        <v>2002</v>
      </c>
      <c r="F26" s="21">
        <f t="shared" si="4"/>
        <v>144</v>
      </c>
      <c r="G26" s="22">
        <f t="shared" si="4"/>
        <v>1351</v>
      </c>
      <c r="H26" s="23">
        <v>16</v>
      </c>
      <c r="I26" s="20">
        <v>145</v>
      </c>
      <c r="J26" s="24">
        <v>27</v>
      </c>
      <c r="K26" s="21">
        <v>182</v>
      </c>
      <c r="L26" s="23">
        <v>36</v>
      </c>
      <c r="M26" s="20">
        <v>367</v>
      </c>
      <c r="N26" s="21">
        <v>14</v>
      </c>
      <c r="O26" s="22">
        <v>216</v>
      </c>
      <c r="P26" s="23"/>
      <c r="Q26" s="20"/>
      <c r="R26" s="24"/>
      <c r="S26" s="21"/>
      <c r="T26" s="23">
        <v>51</v>
      </c>
      <c r="U26" s="25">
        <v>441</v>
      </c>
      <c r="V26" s="23">
        <f t="shared" si="5"/>
        <v>93</v>
      </c>
      <c r="W26" s="25">
        <f t="shared" si="5"/>
        <v>910</v>
      </c>
      <c r="X26" s="23">
        <f t="shared" si="6"/>
        <v>79</v>
      </c>
      <c r="Y26" s="25">
        <f t="shared" si="6"/>
        <v>694</v>
      </c>
    </row>
    <row r="27" spans="1:25" x14ac:dyDescent="0.3">
      <c r="A27" s="1">
        <f t="shared" si="3"/>
        <v>24</v>
      </c>
      <c r="B27" s="17" t="s">
        <v>63</v>
      </c>
      <c r="C27" s="18" t="s">
        <v>64</v>
      </c>
      <c r="D27" s="23">
        <v>1996</v>
      </c>
      <c r="E27" s="20">
        <v>1997</v>
      </c>
      <c r="F27" s="21">
        <f t="shared" si="4"/>
        <v>7</v>
      </c>
      <c r="G27" s="22">
        <f t="shared" si="4"/>
        <v>8</v>
      </c>
      <c r="H27" s="23"/>
      <c r="I27" s="20"/>
      <c r="J27" s="24"/>
      <c r="K27" s="21"/>
      <c r="L27" s="23"/>
      <c r="M27" s="20"/>
      <c r="N27" s="21"/>
      <c r="O27" s="22"/>
      <c r="P27" s="23"/>
      <c r="Q27" s="20"/>
      <c r="R27" s="24"/>
      <c r="S27" s="21"/>
      <c r="T27" s="23">
        <v>7</v>
      </c>
      <c r="U27" s="25">
        <v>8</v>
      </c>
      <c r="V27" s="23">
        <f t="shared" si="5"/>
        <v>0</v>
      </c>
      <c r="W27" s="25">
        <f t="shared" si="5"/>
        <v>0</v>
      </c>
      <c r="X27" s="23">
        <f t="shared" si="6"/>
        <v>0</v>
      </c>
      <c r="Y27" s="25">
        <f t="shared" si="6"/>
        <v>0</v>
      </c>
    </row>
    <row r="28" spans="1:25" x14ac:dyDescent="0.3">
      <c r="A28" s="1">
        <f t="shared" si="3"/>
        <v>25</v>
      </c>
      <c r="B28" s="17" t="s">
        <v>65</v>
      </c>
      <c r="C28" s="18" t="s">
        <v>50</v>
      </c>
      <c r="D28" s="23">
        <v>1985</v>
      </c>
      <c r="E28" s="20">
        <v>1999</v>
      </c>
      <c r="F28" s="21">
        <f t="shared" si="4"/>
        <v>104</v>
      </c>
      <c r="G28" s="22">
        <f t="shared" si="4"/>
        <v>937</v>
      </c>
      <c r="H28" s="23">
        <v>8</v>
      </c>
      <c r="I28" s="20">
        <v>85</v>
      </c>
      <c r="J28" s="24">
        <v>9</v>
      </c>
      <c r="K28" s="21">
        <v>54</v>
      </c>
      <c r="L28" s="23">
        <v>31</v>
      </c>
      <c r="M28" s="20">
        <v>303</v>
      </c>
      <c r="N28" s="21">
        <v>9</v>
      </c>
      <c r="O28" s="22">
        <v>47</v>
      </c>
      <c r="P28" s="23"/>
      <c r="Q28" s="20"/>
      <c r="R28" s="24">
        <v>11</v>
      </c>
      <c r="S28" s="21">
        <v>76</v>
      </c>
      <c r="T28" s="23">
        <v>36</v>
      </c>
      <c r="U28" s="25">
        <v>372</v>
      </c>
      <c r="V28" s="23">
        <f t="shared" si="5"/>
        <v>68</v>
      </c>
      <c r="W28" s="25">
        <f t="shared" si="5"/>
        <v>565</v>
      </c>
      <c r="X28" s="23">
        <f t="shared" si="6"/>
        <v>48</v>
      </c>
      <c r="Y28" s="25">
        <f t="shared" si="6"/>
        <v>442</v>
      </c>
    </row>
    <row r="29" spans="1:25" x14ac:dyDescent="0.3">
      <c r="A29" s="1">
        <f t="shared" si="3"/>
        <v>26</v>
      </c>
      <c r="B29" s="17" t="s">
        <v>66</v>
      </c>
      <c r="C29" s="18" t="s">
        <v>67</v>
      </c>
      <c r="D29" s="23">
        <v>1988</v>
      </c>
      <c r="E29" s="20">
        <v>1988</v>
      </c>
      <c r="F29" s="21">
        <f t="shared" si="4"/>
        <v>4</v>
      </c>
      <c r="G29" s="22">
        <f t="shared" si="4"/>
        <v>10</v>
      </c>
      <c r="H29" s="23"/>
      <c r="I29" s="20"/>
      <c r="J29" s="24"/>
      <c r="K29" s="21"/>
      <c r="L29" s="23"/>
      <c r="M29" s="20"/>
      <c r="N29" s="21"/>
      <c r="O29" s="22"/>
      <c r="P29" s="23"/>
      <c r="Q29" s="20"/>
      <c r="R29" s="24">
        <v>4</v>
      </c>
      <c r="S29" s="21">
        <v>10</v>
      </c>
      <c r="T29" s="23"/>
      <c r="U29" s="25"/>
      <c r="V29" s="23">
        <f t="shared" si="5"/>
        <v>4</v>
      </c>
      <c r="W29" s="25">
        <f t="shared" si="5"/>
        <v>10</v>
      </c>
      <c r="X29" s="23">
        <f t="shared" si="6"/>
        <v>0</v>
      </c>
      <c r="Y29" s="25">
        <f t="shared" si="6"/>
        <v>0</v>
      </c>
    </row>
    <row r="30" spans="1:25" x14ac:dyDescent="0.3">
      <c r="A30" s="1">
        <f t="shared" si="3"/>
        <v>27</v>
      </c>
      <c r="B30" s="17" t="s">
        <v>68</v>
      </c>
      <c r="C30" s="18" t="s">
        <v>60</v>
      </c>
      <c r="D30" s="19">
        <v>1997</v>
      </c>
      <c r="E30" s="20">
        <v>2004</v>
      </c>
      <c r="F30" s="21">
        <f t="shared" si="4"/>
        <v>108</v>
      </c>
      <c r="G30" s="22">
        <f t="shared" si="4"/>
        <v>738</v>
      </c>
      <c r="H30" s="23">
        <v>13</v>
      </c>
      <c r="I30" s="20">
        <v>65</v>
      </c>
      <c r="J30" s="24">
        <v>18</v>
      </c>
      <c r="K30" s="21">
        <v>56</v>
      </c>
      <c r="L30" s="23">
        <v>13</v>
      </c>
      <c r="M30" s="20">
        <v>136</v>
      </c>
      <c r="N30" s="21"/>
      <c r="O30" s="22"/>
      <c r="P30" s="23"/>
      <c r="Q30" s="20"/>
      <c r="R30" s="24"/>
      <c r="S30" s="21"/>
      <c r="T30" s="23">
        <v>64</v>
      </c>
      <c r="U30" s="25">
        <v>481</v>
      </c>
      <c r="V30" s="23">
        <f t="shared" si="5"/>
        <v>44</v>
      </c>
      <c r="W30" s="25">
        <f t="shared" si="5"/>
        <v>257</v>
      </c>
      <c r="X30" s="23">
        <f t="shared" si="6"/>
        <v>44</v>
      </c>
      <c r="Y30" s="25">
        <f t="shared" si="6"/>
        <v>257</v>
      </c>
    </row>
    <row r="31" spans="1:25" x14ac:dyDescent="0.3">
      <c r="A31" s="1">
        <f t="shared" si="3"/>
        <v>28</v>
      </c>
      <c r="B31" s="17" t="s">
        <v>69</v>
      </c>
      <c r="C31" s="18" t="s">
        <v>70</v>
      </c>
      <c r="D31" s="23">
        <v>1968</v>
      </c>
      <c r="E31" s="20">
        <v>1975</v>
      </c>
      <c r="F31" s="21">
        <f t="shared" si="4"/>
        <v>10</v>
      </c>
      <c r="G31" s="22">
        <f t="shared" si="4"/>
        <v>37</v>
      </c>
      <c r="H31" s="23"/>
      <c r="I31" s="20"/>
      <c r="J31" s="24"/>
      <c r="K31" s="21"/>
      <c r="L31" s="23"/>
      <c r="M31" s="20"/>
      <c r="N31" s="21"/>
      <c r="O31" s="22"/>
      <c r="P31" s="23"/>
      <c r="Q31" s="20"/>
      <c r="R31" s="24">
        <v>7</v>
      </c>
      <c r="S31" s="21">
        <v>33</v>
      </c>
      <c r="T31" s="23">
        <v>3</v>
      </c>
      <c r="U31" s="25">
        <v>4</v>
      </c>
      <c r="V31" s="23">
        <f t="shared" si="5"/>
        <v>7</v>
      </c>
      <c r="W31" s="25">
        <f t="shared" si="5"/>
        <v>33</v>
      </c>
      <c r="X31" s="23">
        <f t="shared" si="6"/>
        <v>0</v>
      </c>
      <c r="Y31" s="25">
        <f t="shared" si="6"/>
        <v>0</v>
      </c>
    </row>
    <row r="32" spans="1:25" x14ac:dyDescent="0.3">
      <c r="A32" s="1">
        <f t="shared" si="3"/>
        <v>29</v>
      </c>
      <c r="B32" s="26" t="s">
        <v>71</v>
      </c>
      <c r="C32" s="25" t="s">
        <v>72</v>
      </c>
      <c r="D32" s="23">
        <v>1949</v>
      </c>
      <c r="E32" s="20">
        <v>1957</v>
      </c>
      <c r="F32" s="21">
        <f t="shared" si="4"/>
        <v>75</v>
      </c>
      <c r="G32" s="22">
        <f t="shared" si="4"/>
        <v>245</v>
      </c>
      <c r="H32" s="23"/>
      <c r="I32" s="20"/>
      <c r="J32" s="24">
        <v>10</v>
      </c>
      <c r="K32" s="21">
        <v>32</v>
      </c>
      <c r="L32" s="23">
        <v>21</v>
      </c>
      <c r="M32" s="20">
        <v>95</v>
      </c>
      <c r="N32" s="21">
        <v>5</v>
      </c>
      <c r="O32" s="22">
        <v>5</v>
      </c>
      <c r="P32" s="23"/>
      <c r="Q32" s="20"/>
      <c r="R32" s="24"/>
      <c r="S32" s="21"/>
      <c r="T32" s="23">
        <v>39</v>
      </c>
      <c r="U32" s="25">
        <v>113</v>
      </c>
      <c r="V32" s="23">
        <f t="shared" si="5"/>
        <v>36</v>
      </c>
      <c r="W32" s="25">
        <f t="shared" si="5"/>
        <v>132</v>
      </c>
      <c r="X32" s="23">
        <f t="shared" si="6"/>
        <v>31</v>
      </c>
      <c r="Y32" s="25">
        <f t="shared" si="6"/>
        <v>127</v>
      </c>
    </row>
    <row r="33" spans="1:25" x14ac:dyDescent="0.3">
      <c r="A33" s="1">
        <f t="shared" si="3"/>
        <v>30</v>
      </c>
      <c r="B33" s="17" t="s">
        <v>73</v>
      </c>
      <c r="C33" s="18" t="s">
        <v>74</v>
      </c>
      <c r="D33" s="23">
        <v>1966</v>
      </c>
      <c r="E33" s="20">
        <v>1975</v>
      </c>
      <c r="F33" s="21">
        <f t="shared" si="4"/>
        <v>7</v>
      </c>
      <c r="G33" s="22">
        <f t="shared" si="4"/>
        <v>29</v>
      </c>
      <c r="H33" s="23"/>
      <c r="I33" s="20"/>
      <c r="J33" s="24"/>
      <c r="K33" s="21"/>
      <c r="L33" s="23"/>
      <c r="M33" s="20"/>
      <c r="N33" s="21"/>
      <c r="O33" s="22"/>
      <c r="P33" s="23"/>
      <c r="Q33" s="20"/>
      <c r="R33" s="24">
        <v>3</v>
      </c>
      <c r="S33" s="21">
        <v>0</v>
      </c>
      <c r="T33" s="23">
        <v>4</v>
      </c>
      <c r="U33" s="25">
        <v>29</v>
      </c>
      <c r="V33" s="23">
        <f t="shared" si="5"/>
        <v>3</v>
      </c>
      <c r="W33" s="25">
        <f t="shared" si="5"/>
        <v>0</v>
      </c>
      <c r="X33" s="23">
        <f t="shared" si="6"/>
        <v>0</v>
      </c>
      <c r="Y33" s="25">
        <f t="shared" si="6"/>
        <v>0</v>
      </c>
    </row>
    <row r="34" spans="1:25" x14ac:dyDescent="0.3">
      <c r="A34" s="1">
        <f t="shared" si="3"/>
        <v>31</v>
      </c>
      <c r="B34" s="17" t="s">
        <v>75</v>
      </c>
      <c r="C34" s="18" t="s">
        <v>76</v>
      </c>
      <c r="D34" s="19">
        <v>2013</v>
      </c>
      <c r="E34" s="20">
        <v>2018</v>
      </c>
      <c r="F34" s="21">
        <f t="shared" si="4"/>
        <v>30</v>
      </c>
      <c r="G34" s="22">
        <f t="shared" si="4"/>
        <v>83</v>
      </c>
      <c r="H34" s="23"/>
      <c r="I34" s="20"/>
      <c r="J34" s="24"/>
      <c r="K34" s="21"/>
      <c r="L34" s="23">
        <v>11</v>
      </c>
      <c r="M34" s="20">
        <v>39</v>
      </c>
      <c r="N34" s="21">
        <v>10</v>
      </c>
      <c r="O34" s="22">
        <v>21</v>
      </c>
      <c r="P34" s="23"/>
      <c r="Q34" s="20"/>
      <c r="R34" s="24"/>
      <c r="S34" s="21"/>
      <c r="T34" s="23">
        <v>9</v>
      </c>
      <c r="U34" s="25">
        <v>23</v>
      </c>
      <c r="V34" s="23">
        <f t="shared" si="5"/>
        <v>21</v>
      </c>
      <c r="W34" s="25">
        <f t="shared" si="5"/>
        <v>60</v>
      </c>
      <c r="X34" s="23">
        <f t="shared" si="6"/>
        <v>11</v>
      </c>
      <c r="Y34" s="25">
        <f t="shared" si="6"/>
        <v>39</v>
      </c>
    </row>
    <row r="35" spans="1:25" x14ac:dyDescent="0.3">
      <c r="A35" s="1">
        <f t="shared" si="3"/>
        <v>32</v>
      </c>
      <c r="B35" s="17" t="s">
        <v>77</v>
      </c>
      <c r="C35" s="18" t="s">
        <v>50</v>
      </c>
      <c r="D35" s="19">
        <v>2001</v>
      </c>
      <c r="E35" s="20">
        <v>2001</v>
      </c>
      <c r="F35" s="21">
        <f t="shared" si="4"/>
        <v>6</v>
      </c>
      <c r="G35" s="22">
        <f t="shared" si="4"/>
        <v>43</v>
      </c>
      <c r="H35" s="23"/>
      <c r="I35" s="20"/>
      <c r="J35" s="24"/>
      <c r="K35" s="21"/>
      <c r="L35" s="23"/>
      <c r="M35" s="20"/>
      <c r="N35" s="21"/>
      <c r="O35" s="22"/>
      <c r="P35" s="23">
        <v>6</v>
      </c>
      <c r="Q35" s="20">
        <v>43</v>
      </c>
      <c r="R35" s="24"/>
      <c r="S35" s="21"/>
      <c r="T35" s="23"/>
      <c r="U35" s="25"/>
      <c r="V35" s="23">
        <f t="shared" si="5"/>
        <v>6</v>
      </c>
      <c r="W35" s="25">
        <f t="shared" si="5"/>
        <v>43</v>
      </c>
      <c r="X35" s="23">
        <f t="shared" si="6"/>
        <v>0</v>
      </c>
      <c r="Y35" s="25">
        <f t="shared" si="6"/>
        <v>0</v>
      </c>
    </row>
    <row r="36" spans="1:25" x14ac:dyDescent="0.3">
      <c r="A36" s="1">
        <f t="shared" si="3"/>
        <v>33</v>
      </c>
      <c r="B36" s="17" t="s">
        <v>78</v>
      </c>
      <c r="C36" s="18" t="s">
        <v>50</v>
      </c>
      <c r="D36" s="23">
        <v>1993</v>
      </c>
      <c r="E36" s="20">
        <v>1993</v>
      </c>
      <c r="F36" s="21">
        <f t="shared" si="4"/>
        <v>1</v>
      </c>
      <c r="G36" s="22">
        <f t="shared" si="4"/>
        <v>0</v>
      </c>
      <c r="H36" s="23"/>
      <c r="I36" s="20"/>
      <c r="J36" s="24"/>
      <c r="K36" s="21"/>
      <c r="L36" s="23"/>
      <c r="M36" s="20"/>
      <c r="N36" s="21"/>
      <c r="O36" s="22"/>
      <c r="P36" s="23"/>
      <c r="Q36" s="20"/>
      <c r="R36" s="24"/>
      <c r="S36" s="21"/>
      <c r="T36" s="23">
        <v>1</v>
      </c>
      <c r="U36" s="25">
        <v>0</v>
      </c>
      <c r="V36" s="23">
        <f t="shared" si="5"/>
        <v>0</v>
      </c>
      <c r="W36" s="25">
        <f t="shared" si="5"/>
        <v>0</v>
      </c>
      <c r="X36" s="23">
        <f t="shared" si="6"/>
        <v>0</v>
      </c>
      <c r="Y36" s="25">
        <f t="shared" si="6"/>
        <v>0</v>
      </c>
    </row>
    <row r="37" spans="1:25" x14ac:dyDescent="0.3">
      <c r="A37" s="1">
        <f t="shared" si="3"/>
        <v>34</v>
      </c>
      <c r="B37" s="17" t="s">
        <v>79</v>
      </c>
      <c r="C37" s="18" t="s">
        <v>50</v>
      </c>
      <c r="D37" s="23">
        <v>1997</v>
      </c>
      <c r="E37" s="20">
        <v>1997</v>
      </c>
      <c r="F37" s="21">
        <f t="shared" si="4"/>
        <v>6</v>
      </c>
      <c r="G37" s="22">
        <f t="shared" si="4"/>
        <v>11</v>
      </c>
      <c r="H37" s="23"/>
      <c r="I37" s="20"/>
      <c r="J37" s="24"/>
      <c r="K37" s="21"/>
      <c r="L37" s="23"/>
      <c r="M37" s="20"/>
      <c r="N37" s="21"/>
      <c r="O37" s="22"/>
      <c r="P37" s="23">
        <v>6</v>
      </c>
      <c r="Q37" s="20">
        <v>11</v>
      </c>
      <c r="R37" s="24"/>
      <c r="S37" s="21"/>
      <c r="T37" s="23"/>
      <c r="U37" s="25"/>
      <c r="V37" s="23">
        <f t="shared" si="5"/>
        <v>6</v>
      </c>
      <c r="W37" s="25">
        <f t="shared" si="5"/>
        <v>11</v>
      </c>
      <c r="X37" s="23">
        <f t="shared" si="6"/>
        <v>0</v>
      </c>
      <c r="Y37" s="25">
        <f t="shared" si="6"/>
        <v>0</v>
      </c>
    </row>
    <row r="38" spans="1:25" x14ac:dyDescent="0.3">
      <c r="A38" s="1">
        <f t="shared" si="3"/>
        <v>35</v>
      </c>
      <c r="B38" s="17" t="s">
        <v>80</v>
      </c>
      <c r="C38" s="18" t="s">
        <v>81</v>
      </c>
      <c r="D38" s="23">
        <v>1981</v>
      </c>
      <c r="E38" s="20">
        <v>1987</v>
      </c>
      <c r="F38" s="21">
        <f t="shared" si="4"/>
        <v>42</v>
      </c>
      <c r="G38" s="22">
        <f t="shared" si="4"/>
        <v>327</v>
      </c>
      <c r="H38" s="23"/>
      <c r="I38" s="20"/>
      <c r="J38" s="24"/>
      <c r="K38" s="21"/>
      <c r="L38" s="23">
        <v>15</v>
      </c>
      <c r="M38" s="20">
        <v>77</v>
      </c>
      <c r="N38" s="21">
        <v>1</v>
      </c>
      <c r="O38" s="22">
        <v>10</v>
      </c>
      <c r="P38" s="23"/>
      <c r="Q38" s="20"/>
      <c r="R38" s="24">
        <v>8</v>
      </c>
      <c r="S38" s="21">
        <v>75</v>
      </c>
      <c r="T38" s="23">
        <v>18</v>
      </c>
      <c r="U38" s="25">
        <v>165</v>
      </c>
      <c r="V38" s="23">
        <f t="shared" si="5"/>
        <v>24</v>
      </c>
      <c r="W38" s="25">
        <f t="shared" si="5"/>
        <v>162</v>
      </c>
      <c r="X38" s="23">
        <f t="shared" si="6"/>
        <v>15</v>
      </c>
      <c r="Y38" s="25">
        <f t="shared" si="6"/>
        <v>77</v>
      </c>
    </row>
    <row r="39" spans="1:25" x14ac:dyDescent="0.3">
      <c r="A39" s="1">
        <f t="shared" si="3"/>
        <v>36</v>
      </c>
      <c r="B39" s="26" t="s">
        <v>82</v>
      </c>
      <c r="C39" s="25" t="s">
        <v>83</v>
      </c>
      <c r="D39" s="23">
        <v>1947</v>
      </c>
      <c r="E39" s="20">
        <v>1947</v>
      </c>
      <c r="F39" s="21">
        <f t="shared" si="4"/>
        <v>5</v>
      </c>
      <c r="G39" s="22">
        <f t="shared" si="4"/>
        <v>14</v>
      </c>
      <c r="H39" s="23"/>
      <c r="I39" s="20"/>
      <c r="J39" s="24"/>
      <c r="K39" s="21"/>
      <c r="L39" s="23">
        <v>5</v>
      </c>
      <c r="M39" s="20">
        <v>14</v>
      </c>
      <c r="N39" s="21"/>
      <c r="O39" s="22"/>
      <c r="P39" s="23"/>
      <c r="Q39" s="20"/>
      <c r="R39" s="24"/>
      <c r="S39" s="21"/>
      <c r="T39" s="23"/>
      <c r="U39" s="25"/>
      <c r="V39" s="23">
        <f t="shared" si="5"/>
        <v>5</v>
      </c>
      <c r="W39" s="25">
        <f t="shared" si="5"/>
        <v>14</v>
      </c>
      <c r="X39" s="23">
        <f t="shared" si="6"/>
        <v>5</v>
      </c>
      <c r="Y39" s="25">
        <f t="shared" si="6"/>
        <v>14</v>
      </c>
    </row>
    <row r="40" spans="1:25" x14ac:dyDescent="0.3">
      <c r="A40" s="1">
        <f t="shared" si="3"/>
        <v>37</v>
      </c>
      <c r="B40" s="17" t="s">
        <v>84</v>
      </c>
      <c r="C40" s="18" t="s">
        <v>33</v>
      </c>
      <c r="D40" s="19">
        <v>1998</v>
      </c>
      <c r="E40" s="20">
        <v>2007</v>
      </c>
      <c r="F40" s="21">
        <f t="shared" ref="F40:G55" si="7">H40+J40+L40+N40+P40+R40+T40</f>
        <v>107</v>
      </c>
      <c r="G40" s="22">
        <f t="shared" si="7"/>
        <v>1077</v>
      </c>
      <c r="H40" s="23"/>
      <c r="I40" s="20"/>
      <c r="J40" s="24">
        <v>9</v>
      </c>
      <c r="K40" s="21">
        <v>96</v>
      </c>
      <c r="L40" s="23">
        <v>29</v>
      </c>
      <c r="M40" s="20">
        <v>272</v>
      </c>
      <c r="N40" s="21"/>
      <c r="O40" s="22"/>
      <c r="P40" s="23"/>
      <c r="Q40" s="20"/>
      <c r="R40" s="24"/>
      <c r="S40" s="21"/>
      <c r="T40" s="23">
        <v>69</v>
      </c>
      <c r="U40" s="25">
        <v>709</v>
      </c>
      <c r="V40" s="23">
        <f t="shared" ref="V40:W55" si="8">H40+J40+L40+N40+P40+R40</f>
        <v>38</v>
      </c>
      <c r="W40" s="25">
        <f t="shared" si="8"/>
        <v>368</v>
      </c>
      <c r="X40" s="23">
        <f t="shared" ref="X40:Y55" si="9">H40+J40+L40</f>
        <v>38</v>
      </c>
      <c r="Y40" s="25">
        <f t="shared" si="9"/>
        <v>368</v>
      </c>
    </row>
    <row r="41" spans="1:25" x14ac:dyDescent="0.3">
      <c r="A41" s="1">
        <f t="shared" si="3"/>
        <v>38</v>
      </c>
      <c r="B41" s="17" t="s">
        <v>85</v>
      </c>
      <c r="C41" s="18" t="s">
        <v>86</v>
      </c>
      <c r="D41" s="23">
        <v>1983</v>
      </c>
      <c r="E41" s="20">
        <v>1985</v>
      </c>
      <c r="F41" s="21">
        <f t="shared" si="7"/>
        <v>21</v>
      </c>
      <c r="G41" s="22">
        <f t="shared" si="7"/>
        <v>127</v>
      </c>
      <c r="H41" s="23"/>
      <c r="I41" s="20"/>
      <c r="J41" s="24"/>
      <c r="K41" s="21"/>
      <c r="L41" s="23"/>
      <c r="M41" s="20"/>
      <c r="N41" s="21">
        <v>3</v>
      </c>
      <c r="O41" s="22">
        <v>23</v>
      </c>
      <c r="P41" s="23"/>
      <c r="Q41" s="20"/>
      <c r="R41" s="24"/>
      <c r="S41" s="21"/>
      <c r="T41" s="23">
        <v>18</v>
      </c>
      <c r="U41" s="25">
        <v>104</v>
      </c>
      <c r="V41" s="23">
        <f t="shared" si="8"/>
        <v>3</v>
      </c>
      <c r="W41" s="25">
        <f t="shared" si="8"/>
        <v>23</v>
      </c>
      <c r="X41" s="23">
        <f t="shared" si="9"/>
        <v>0</v>
      </c>
      <c r="Y41" s="25">
        <f t="shared" si="9"/>
        <v>0</v>
      </c>
    </row>
    <row r="42" spans="1:25" x14ac:dyDescent="0.3">
      <c r="A42" s="1">
        <f t="shared" si="3"/>
        <v>39</v>
      </c>
      <c r="B42" s="17" t="s">
        <v>87</v>
      </c>
      <c r="C42" s="18" t="s">
        <v>88</v>
      </c>
      <c r="D42" s="23">
        <v>1966</v>
      </c>
      <c r="E42" s="20">
        <v>1966</v>
      </c>
      <c r="F42" s="21">
        <f t="shared" si="7"/>
        <v>4</v>
      </c>
      <c r="G42" s="22">
        <f t="shared" si="7"/>
        <v>20</v>
      </c>
      <c r="H42" s="23"/>
      <c r="I42" s="20"/>
      <c r="J42" s="24"/>
      <c r="K42" s="21"/>
      <c r="L42" s="23"/>
      <c r="M42" s="20"/>
      <c r="N42" s="21"/>
      <c r="O42" s="22"/>
      <c r="P42" s="23"/>
      <c r="Q42" s="20"/>
      <c r="R42" s="24"/>
      <c r="S42" s="21"/>
      <c r="T42" s="23">
        <v>4</v>
      </c>
      <c r="U42" s="25">
        <v>20</v>
      </c>
      <c r="V42" s="23">
        <f t="shared" si="8"/>
        <v>0</v>
      </c>
      <c r="W42" s="25">
        <f t="shared" si="8"/>
        <v>0</v>
      </c>
      <c r="X42" s="23">
        <f t="shared" si="9"/>
        <v>0</v>
      </c>
      <c r="Y42" s="25">
        <f t="shared" si="9"/>
        <v>0</v>
      </c>
    </row>
    <row r="43" spans="1:25" x14ac:dyDescent="0.3">
      <c r="A43" s="1">
        <f t="shared" si="3"/>
        <v>40</v>
      </c>
      <c r="B43" s="17" t="s">
        <v>89</v>
      </c>
      <c r="C43" s="18" t="s">
        <v>90</v>
      </c>
      <c r="D43" s="23">
        <v>1966</v>
      </c>
      <c r="E43" s="20">
        <v>1966</v>
      </c>
      <c r="F43" s="21">
        <f t="shared" si="7"/>
        <v>8</v>
      </c>
      <c r="G43" s="22">
        <f t="shared" si="7"/>
        <v>4</v>
      </c>
      <c r="H43" s="23"/>
      <c r="I43" s="20"/>
      <c r="J43" s="24"/>
      <c r="K43" s="21"/>
      <c r="L43" s="23"/>
      <c r="M43" s="20"/>
      <c r="N43" s="21"/>
      <c r="O43" s="22"/>
      <c r="P43" s="23"/>
      <c r="Q43" s="20"/>
      <c r="R43" s="24">
        <v>4</v>
      </c>
      <c r="S43" s="21">
        <v>4</v>
      </c>
      <c r="T43" s="23">
        <v>4</v>
      </c>
      <c r="U43" s="25">
        <v>0</v>
      </c>
      <c r="V43" s="23">
        <f t="shared" si="8"/>
        <v>4</v>
      </c>
      <c r="W43" s="25">
        <f t="shared" si="8"/>
        <v>4</v>
      </c>
      <c r="X43" s="23">
        <f t="shared" si="9"/>
        <v>0</v>
      </c>
      <c r="Y43" s="25">
        <f t="shared" si="9"/>
        <v>0</v>
      </c>
    </row>
    <row r="44" spans="1:25" x14ac:dyDescent="0.3">
      <c r="A44" s="1">
        <f t="shared" si="3"/>
        <v>41</v>
      </c>
      <c r="B44" s="17" t="s">
        <v>91</v>
      </c>
      <c r="C44" s="18" t="s">
        <v>58</v>
      </c>
      <c r="D44" s="19">
        <v>2012</v>
      </c>
      <c r="E44" s="20">
        <v>2012</v>
      </c>
      <c r="F44" s="21">
        <f t="shared" si="7"/>
        <v>2</v>
      </c>
      <c r="G44" s="22">
        <f t="shared" si="7"/>
        <v>2</v>
      </c>
      <c r="H44" s="23"/>
      <c r="I44" s="20"/>
      <c r="J44" s="24"/>
      <c r="K44" s="21"/>
      <c r="L44" s="23"/>
      <c r="M44" s="20"/>
      <c r="N44" s="21"/>
      <c r="O44" s="22"/>
      <c r="P44" s="23"/>
      <c r="Q44" s="20"/>
      <c r="R44" s="24"/>
      <c r="S44" s="21"/>
      <c r="T44" s="23">
        <v>2</v>
      </c>
      <c r="U44" s="25">
        <v>2</v>
      </c>
      <c r="V44" s="23">
        <f t="shared" si="8"/>
        <v>0</v>
      </c>
      <c r="W44" s="25">
        <f t="shared" si="8"/>
        <v>0</v>
      </c>
      <c r="X44" s="23">
        <f t="shared" si="9"/>
        <v>0</v>
      </c>
      <c r="Y44" s="25">
        <f t="shared" si="9"/>
        <v>0</v>
      </c>
    </row>
    <row r="45" spans="1:25" x14ac:dyDescent="0.3">
      <c r="A45" s="1">
        <f t="shared" si="3"/>
        <v>42</v>
      </c>
      <c r="B45" s="17" t="s">
        <v>91</v>
      </c>
      <c r="C45" s="18" t="s">
        <v>92</v>
      </c>
      <c r="D45" s="19">
        <v>2018</v>
      </c>
      <c r="E45" s="20">
        <v>2024</v>
      </c>
      <c r="F45" s="21">
        <f t="shared" si="7"/>
        <v>31</v>
      </c>
      <c r="G45" s="22">
        <f t="shared" si="7"/>
        <v>147</v>
      </c>
      <c r="H45" s="23"/>
      <c r="I45" s="20"/>
      <c r="J45" s="24"/>
      <c r="K45" s="21"/>
      <c r="L45" s="23">
        <v>6</v>
      </c>
      <c r="M45" s="20">
        <v>38</v>
      </c>
      <c r="N45" s="21">
        <v>16</v>
      </c>
      <c r="O45" s="22">
        <v>92</v>
      </c>
      <c r="P45" s="23"/>
      <c r="Q45" s="20"/>
      <c r="R45" s="24"/>
      <c r="S45" s="21"/>
      <c r="T45" s="23">
        <v>9</v>
      </c>
      <c r="U45" s="25">
        <v>17</v>
      </c>
      <c r="V45" s="23">
        <f t="shared" si="8"/>
        <v>22</v>
      </c>
      <c r="W45" s="25">
        <f t="shared" si="8"/>
        <v>130</v>
      </c>
      <c r="X45" s="23">
        <f t="shared" si="9"/>
        <v>6</v>
      </c>
      <c r="Y45" s="25">
        <f t="shared" si="9"/>
        <v>38</v>
      </c>
    </row>
    <row r="46" spans="1:25" x14ac:dyDescent="0.3">
      <c r="A46" s="1">
        <f t="shared" si="3"/>
        <v>43</v>
      </c>
      <c r="B46" s="17" t="s">
        <v>93</v>
      </c>
      <c r="C46" s="18" t="s">
        <v>94</v>
      </c>
      <c r="D46" s="23">
        <v>1964</v>
      </c>
      <c r="E46" s="20">
        <v>1968</v>
      </c>
      <c r="F46" s="21">
        <f t="shared" si="7"/>
        <v>20</v>
      </c>
      <c r="G46" s="22">
        <f t="shared" si="7"/>
        <v>151</v>
      </c>
      <c r="H46" s="23"/>
      <c r="I46" s="20"/>
      <c r="J46" s="24"/>
      <c r="K46" s="21"/>
      <c r="L46" s="23"/>
      <c r="M46" s="20"/>
      <c r="N46" s="21"/>
      <c r="O46" s="22"/>
      <c r="P46" s="23"/>
      <c r="Q46" s="20"/>
      <c r="R46" s="24">
        <v>8</v>
      </c>
      <c r="S46" s="21">
        <v>30</v>
      </c>
      <c r="T46" s="23">
        <v>12</v>
      </c>
      <c r="U46" s="25">
        <v>121</v>
      </c>
      <c r="V46" s="23">
        <f t="shared" si="8"/>
        <v>8</v>
      </c>
      <c r="W46" s="25">
        <f t="shared" si="8"/>
        <v>30</v>
      </c>
      <c r="X46" s="23">
        <f t="shared" si="9"/>
        <v>0</v>
      </c>
      <c r="Y46" s="25">
        <f t="shared" si="9"/>
        <v>0</v>
      </c>
    </row>
    <row r="47" spans="1:25" x14ac:dyDescent="0.3">
      <c r="A47" s="1">
        <f t="shared" si="3"/>
        <v>44</v>
      </c>
      <c r="B47" s="17" t="s">
        <v>95</v>
      </c>
      <c r="C47" s="18" t="s">
        <v>86</v>
      </c>
      <c r="D47" s="19">
        <v>2001</v>
      </c>
      <c r="E47" s="20">
        <v>2002</v>
      </c>
      <c r="F47" s="21">
        <f t="shared" si="7"/>
        <v>8</v>
      </c>
      <c r="G47" s="22">
        <f t="shared" si="7"/>
        <v>35</v>
      </c>
      <c r="H47" s="23"/>
      <c r="I47" s="20"/>
      <c r="J47" s="24"/>
      <c r="K47" s="21"/>
      <c r="L47" s="23"/>
      <c r="M47" s="20"/>
      <c r="N47" s="21"/>
      <c r="O47" s="22"/>
      <c r="P47" s="23">
        <v>6</v>
      </c>
      <c r="Q47" s="20">
        <v>30</v>
      </c>
      <c r="R47" s="24"/>
      <c r="S47" s="21"/>
      <c r="T47" s="23">
        <v>2</v>
      </c>
      <c r="U47" s="25">
        <v>5</v>
      </c>
      <c r="V47" s="23">
        <f t="shared" si="8"/>
        <v>6</v>
      </c>
      <c r="W47" s="25">
        <f t="shared" si="8"/>
        <v>30</v>
      </c>
      <c r="X47" s="23">
        <f t="shared" si="9"/>
        <v>0</v>
      </c>
      <c r="Y47" s="25">
        <f t="shared" si="9"/>
        <v>0</v>
      </c>
    </row>
    <row r="48" spans="1:25" x14ac:dyDescent="0.3">
      <c r="A48" s="1">
        <f t="shared" si="3"/>
        <v>45</v>
      </c>
      <c r="B48" s="17" t="s">
        <v>96</v>
      </c>
      <c r="C48" s="18" t="s">
        <v>97</v>
      </c>
      <c r="D48" s="19">
        <v>2013</v>
      </c>
      <c r="E48" s="20">
        <v>2014</v>
      </c>
      <c r="F48" s="21">
        <f t="shared" si="7"/>
        <v>40</v>
      </c>
      <c r="G48" s="22">
        <f t="shared" si="7"/>
        <v>271</v>
      </c>
      <c r="H48" s="23"/>
      <c r="I48" s="20"/>
      <c r="J48" s="24">
        <v>9</v>
      </c>
      <c r="K48" s="21">
        <v>16</v>
      </c>
      <c r="L48" s="23">
        <v>11</v>
      </c>
      <c r="M48" s="20">
        <v>83</v>
      </c>
      <c r="N48" s="21"/>
      <c r="O48" s="22"/>
      <c r="P48" s="23"/>
      <c r="Q48" s="20"/>
      <c r="R48" s="24"/>
      <c r="S48" s="21"/>
      <c r="T48" s="23">
        <v>20</v>
      </c>
      <c r="U48" s="25">
        <v>172</v>
      </c>
      <c r="V48" s="23">
        <f t="shared" si="8"/>
        <v>20</v>
      </c>
      <c r="W48" s="25">
        <f t="shared" si="8"/>
        <v>99</v>
      </c>
      <c r="X48" s="23">
        <f t="shared" si="9"/>
        <v>20</v>
      </c>
      <c r="Y48" s="25">
        <f t="shared" si="9"/>
        <v>99</v>
      </c>
    </row>
    <row r="49" spans="1:25" x14ac:dyDescent="0.3">
      <c r="A49" s="1">
        <f t="shared" si="3"/>
        <v>46</v>
      </c>
      <c r="B49" s="17" t="s">
        <v>98</v>
      </c>
      <c r="C49" s="18" t="s">
        <v>99</v>
      </c>
      <c r="D49" s="19">
        <v>2002</v>
      </c>
      <c r="E49" s="20">
        <v>2009</v>
      </c>
      <c r="F49" s="21">
        <f t="shared" si="7"/>
        <v>28</v>
      </c>
      <c r="G49" s="22">
        <f t="shared" si="7"/>
        <v>77</v>
      </c>
      <c r="H49" s="23"/>
      <c r="I49" s="20"/>
      <c r="J49" s="24"/>
      <c r="K49" s="21"/>
      <c r="L49" s="23"/>
      <c r="M49" s="20"/>
      <c r="N49" s="21">
        <v>7</v>
      </c>
      <c r="O49" s="22">
        <v>27</v>
      </c>
      <c r="P49" s="23"/>
      <c r="Q49" s="20"/>
      <c r="R49" s="24"/>
      <c r="S49" s="21"/>
      <c r="T49" s="23">
        <v>21</v>
      </c>
      <c r="U49" s="25">
        <v>50</v>
      </c>
      <c r="V49" s="23">
        <f t="shared" si="8"/>
        <v>7</v>
      </c>
      <c r="W49" s="25">
        <f t="shared" si="8"/>
        <v>27</v>
      </c>
      <c r="X49" s="23">
        <f t="shared" si="9"/>
        <v>0</v>
      </c>
      <c r="Y49" s="25">
        <f t="shared" si="9"/>
        <v>0</v>
      </c>
    </row>
    <row r="50" spans="1:25" x14ac:dyDescent="0.3">
      <c r="A50" s="1">
        <f t="shared" si="3"/>
        <v>47</v>
      </c>
      <c r="B50" s="17" t="s">
        <v>100</v>
      </c>
      <c r="C50" s="18" t="s">
        <v>99</v>
      </c>
      <c r="D50" s="23">
        <v>1975</v>
      </c>
      <c r="E50" s="20">
        <v>1975</v>
      </c>
      <c r="F50" s="21">
        <f t="shared" si="7"/>
        <v>3</v>
      </c>
      <c r="G50" s="22">
        <f t="shared" si="7"/>
        <v>8</v>
      </c>
      <c r="H50" s="23"/>
      <c r="I50" s="20"/>
      <c r="J50" s="24"/>
      <c r="K50" s="21"/>
      <c r="L50" s="23"/>
      <c r="M50" s="20"/>
      <c r="N50" s="21"/>
      <c r="O50" s="22"/>
      <c r="P50" s="23"/>
      <c r="Q50" s="20"/>
      <c r="R50" s="24">
        <v>3</v>
      </c>
      <c r="S50" s="21">
        <v>8</v>
      </c>
      <c r="T50" s="23"/>
      <c r="U50" s="25"/>
      <c r="V50" s="23">
        <f t="shared" si="8"/>
        <v>3</v>
      </c>
      <c r="W50" s="25">
        <f t="shared" si="8"/>
        <v>8</v>
      </c>
      <c r="X50" s="23">
        <f t="shared" si="9"/>
        <v>0</v>
      </c>
      <c r="Y50" s="25">
        <f t="shared" si="9"/>
        <v>0</v>
      </c>
    </row>
    <row r="51" spans="1:25" x14ac:dyDescent="0.3">
      <c r="A51" s="1">
        <f t="shared" si="3"/>
        <v>48</v>
      </c>
      <c r="B51" s="17" t="s">
        <v>101</v>
      </c>
      <c r="C51" s="18" t="s">
        <v>70</v>
      </c>
      <c r="D51" s="23">
        <v>1971</v>
      </c>
      <c r="E51" s="20">
        <v>1983</v>
      </c>
      <c r="F51" s="21">
        <f t="shared" si="7"/>
        <v>216</v>
      </c>
      <c r="G51" s="22">
        <f t="shared" si="7"/>
        <v>3330</v>
      </c>
      <c r="H51" s="23">
        <v>15</v>
      </c>
      <c r="I51" s="20">
        <v>284</v>
      </c>
      <c r="J51" s="24">
        <v>26</v>
      </c>
      <c r="K51" s="21">
        <v>491</v>
      </c>
      <c r="L51" s="23">
        <v>45</v>
      </c>
      <c r="M51" s="20">
        <v>658</v>
      </c>
      <c r="N51" s="21">
        <v>13</v>
      </c>
      <c r="O51" s="22">
        <v>193</v>
      </c>
      <c r="P51" s="23">
        <v>5</v>
      </c>
      <c r="Q51" s="20">
        <v>40</v>
      </c>
      <c r="R51" s="24">
        <v>13</v>
      </c>
      <c r="S51" s="21">
        <v>171</v>
      </c>
      <c r="T51" s="23">
        <v>99</v>
      </c>
      <c r="U51" s="25">
        <v>1493</v>
      </c>
      <c r="V51" s="23">
        <f t="shared" si="8"/>
        <v>117</v>
      </c>
      <c r="W51" s="25">
        <f t="shared" si="8"/>
        <v>1837</v>
      </c>
      <c r="X51" s="23">
        <f t="shared" si="9"/>
        <v>86</v>
      </c>
      <c r="Y51" s="25">
        <f t="shared" si="9"/>
        <v>1433</v>
      </c>
    </row>
    <row r="52" spans="1:25" x14ac:dyDescent="0.3">
      <c r="A52" s="1">
        <f t="shared" si="3"/>
        <v>49</v>
      </c>
      <c r="B52" s="17" t="s">
        <v>102</v>
      </c>
      <c r="C52" s="18" t="s">
        <v>103</v>
      </c>
      <c r="D52" s="23">
        <v>1986</v>
      </c>
      <c r="E52" s="20">
        <v>1993</v>
      </c>
      <c r="F52" s="21">
        <f t="shared" si="7"/>
        <v>23</v>
      </c>
      <c r="G52" s="22">
        <f t="shared" si="7"/>
        <v>185</v>
      </c>
      <c r="H52" s="23"/>
      <c r="I52" s="20"/>
      <c r="J52" s="24"/>
      <c r="K52" s="21"/>
      <c r="L52" s="23"/>
      <c r="M52" s="20"/>
      <c r="N52" s="21"/>
      <c r="O52" s="22"/>
      <c r="P52" s="23"/>
      <c r="Q52" s="20"/>
      <c r="R52" s="24">
        <v>12</v>
      </c>
      <c r="S52" s="21">
        <v>151</v>
      </c>
      <c r="T52" s="23">
        <v>11</v>
      </c>
      <c r="U52" s="25">
        <v>34</v>
      </c>
      <c r="V52" s="23">
        <f t="shared" si="8"/>
        <v>12</v>
      </c>
      <c r="W52" s="25">
        <f t="shared" si="8"/>
        <v>151</v>
      </c>
      <c r="X52" s="23">
        <f t="shared" si="9"/>
        <v>0</v>
      </c>
      <c r="Y52" s="25">
        <f t="shared" si="9"/>
        <v>0</v>
      </c>
    </row>
    <row r="53" spans="1:25" x14ac:dyDescent="0.3">
      <c r="A53" s="1">
        <f t="shared" si="3"/>
        <v>50</v>
      </c>
      <c r="B53" s="26" t="s">
        <v>102</v>
      </c>
      <c r="C53" s="25" t="s">
        <v>104</v>
      </c>
      <c r="D53" s="23">
        <v>2021</v>
      </c>
      <c r="E53" s="20">
        <v>2025</v>
      </c>
      <c r="F53" s="21">
        <f t="shared" si="7"/>
        <v>18</v>
      </c>
      <c r="G53" s="22">
        <f t="shared" si="7"/>
        <v>88</v>
      </c>
      <c r="H53" s="23"/>
      <c r="I53" s="20"/>
      <c r="J53" s="24"/>
      <c r="K53" s="21"/>
      <c r="L53" s="23"/>
      <c r="M53" s="20"/>
      <c r="N53" s="21">
        <v>8</v>
      </c>
      <c r="O53" s="22">
        <v>31</v>
      </c>
      <c r="P53" s="23"/>
      <c r="Q53" s="20"/>
      <c r="R53" s="24"/>
      <c r="S53" s="21"/>
      <c r="T53" s="23">
        <v>10</v>
      </c>
      <c r="U53" s="25">
        <v>57</v>
      </c>
      <c r="V53" s="23">
        <f t="shared" si="8"/>
        <v>8</v>
      </c>
      <c r="W53" s="25">
        <f t="shared" si="8"/>
        <v>31</v>
      </c>
      <c r="X53" s="23">
        <f t="shared" si="9"/>
        <v>0</v>
      </c>
      <c r="Y53" s="25">
        <f t="shared" si="9"/>
        <v>0</v>
      </c>
    </row>
    <row r="54" spans="1:25" x14ac:dyDescent="0.3">
      <c r="A54" s="1">
        <f t="shared" si="3"/>
        <v>51</v>
      </c>
      <c r="B54" s="17" t="s">
        <v>105</v>
      </c>
      <c r="C54" s="18" t="s">
        <v>106</v>
      </c>
      <c r="D54" s="19">
        <v>1993</v>
      </c>
      <c r="E54" s="20">
        <v>2003</v>
      </c>
      <c r="F54" s="21">
        <f t="shared" si="7"/>
        <v>50</v>
      </c>
      <c r="G54" s="22">
        <f t="shared" si="7"/>
        <v>272</v>
      </c>
      <c r="H54" s="23"/>
      <c r="I54" s="20"/>
      <c r="J54" s="24">
        <v>9</v>
      </c>
      <c r="K54" s="21">
        <v>53</v>
      </c>
      <c r="L54" s="23">
        <v>16</v>
      </c>
      <c r="M54" s="20">
        <v>65</v>
      </c>
      <c r="N54" s="21">
        <v>4</v>
      </c>
      <c r="O54" s="22">
        <v>11</v>
      </c>
      <c r="P54" s="23"/>
      <c r="Q54" s="20"/>
      <c r="R54" s="24"/>
      <c r="S54" s="21"/>
      <c r="T54" s="23">
        <v>21</v>
      </c>
      <c r="U54" s="25">
        <v>143</v>
      </c>
      <c r="V54" s="23">
        <f t="shared" si="8"/>
        <v>29</v>
      </c>
      <c r="W54" s="25">
        <f t="shared" si="8"/>
        <v>129</v>
      </c>
      <c r="X54" s="23">
        <f t="shared" si="9"/>
        <v>25</v>
      </c>
      <c r="Y54" s="25">
        <f t="shared" si="9"/>
        <v>118</v>
      </c>
    </row>
    <row r="55" spans="1:25" x14ac:dyDescent="0.3">
      <c r="A55" s="1">
        <f t="shared" si="3"/>
        <v>52</v>
      </c>
      <c r="B55" s="26" t="s">
        <v>107</v>
      </c>
      <c r="C55" s="25" t="s">
        <v>108</v>
      </c>
      <c r="D55" s="23">
        <v>1947</v>
      </c>
      <c r="E55" s="20">
        <v>1947</v>
      </c>
      <c r="F55" s="21">
        <f t="shared" si="7"/>
        <v>3</v>
      </c>
      <c r="G55" s="22">
        <f t="shared" si="7"/>
        <v>3</v>
      </c>
      <c r="H55" s="23"/>
      <c r="I55" s="20"/>
      <c r="J55" s="24"/>
      <c r="K55" s="21"/>
      <c r="L55" s="23">
        <v>3</v>
      </c>
      <c r="M55" s="20">
        <v>3</v>
      </c>
      <c r="N55" s="21"/>
      <c r="O55" s="22"/>
      <c r="P55" s="23"/>
      <c r="Q55" s="20"/>
      <c r="R55" s="24"/>
      <c r="S55" s="21"/>
      <c r="T55" s="23"/>
      <c r="U55" s="25"/>
      <c r="V55" s="23">
        <f t="shared" si="8"/>
        <v>3</v>
      </c>
      <c r="W55" s="25">
        <f t="shared" si="8"/>
        <v>3</v>
      </c>
      <c r="X55" s="23">
        <f t="shared" si="9"/>
        <v>3</v>
      </c>
      <c r="Y55" s="25">
        <f t="shared" si="9"/>
        <v>3</v>
      </c>
    </row>
    <row r="56" spans="1:25" x14ac:dyDescent="0.3">
      <c r="A56" s="1">
        <f t="shared" si="3"/>
        <v>53</v>
      </c>
      <c r="B56" s="26" t="s">
        <v>109</v>
      </c>
      <c r="C56" s="25" t="s">
        <v>27</v>
      </c>
      <c r="D56" s="23">
        <v>1961</v>
      </c>
      <c r="E56" s="20">
        <v>1963</v>
      </c>
      <c r="F56" s="21">
        <f t="shared" ref="F56:G74" si="10">H56+J56+L56+N56+P56+R56+T56</f>
        <v>7</v>
      </c>
      <c r="G56" s="22">
        <f t="shared" si="10"/>
        <v>22</v>
      </c>
      <c r="H56" s="23"/>
      <c r="I56" s="20"/>
      <c r="J56" s="24"/>
      <c r="K56" s="21"/>
      <c r="L56" s="23"/>
      <c r="M56" s="20"/>
      <c r="N56" s="21"/>
      <c r="O56" s="22"/>
      <c r="P56" s="23">
        <v>5</v>
      </c>
      <c r="Q56" s="20">
        <v>22</v>
      </c>
      <c r="R56" s="24"/>
      <c r="S56" s="21"/>
      <c r="T56" s="23">
        <v>2</v>
      </c>
      <c r="U56" s="25">
        <v>0</v>
      </c>
      <c r="V56" s="23">
        <f t="shared" ref="V56:W73" si="11">H56+J56+L56+N56+P56+R56</f>
        <v>5</v>
      </c>
      <c r="W56" s="25">
        <f t="shared" si="11"/>
        <v>22</v>
      </c>
      <c r="X56" s="23">
        <f t="shared" ref="X56:Y73" si="12">H56+J56+L56</f>
        <v>0</v>
      </c>
      <c r="Y56" s="25">
        <f t="shared" si="12"/>
        <v>0</v>
      </c>
    </row>
    <row r="57" spans="1:25" x14ac:dyDescent="0.3">
      <c r="A57" s="1">
        <f t="shared" si="3"/>
        <v>54</v>
      </c>
      <c r="B57" s="17" t="s">
        <v>110</v>
      </c>
      <c r="C57" s="18" t="s">
        <v>46</v>
      </c>
      <c r="D57" s="19">
        <v>2004</v>
      </c>
      <c r="E57" s="20">
        <v>2014</v>
      </c>
      <c r="F57" s="21">
        <f t="shared" si="10"/>
        <v>136</v>
      </c>
      <c r="G57" s="22">
        <f t="shared" si="10"/>
        <v>1570</v>
      </c>
      <c r="H57" s="23">
        <v>6</v>
      </c>
      <c r="I57" s="20">
        <v>31</v>
      </c>
      <c r="J57" s="24">
        <v>15</v>
      </c>
      <c r="K57" s="21">
        <v>130</v>
      </c>
      <c r="L57" s="23">
        <v>35</v>
      </c>
      <c r="M57" s="20">
        <v>461</v>
      </c>
      <c r="N57" s="21">
        <v>15</v>
      </c>
      <c r="O57" s="22">
        <v>192</v>
      </c>
      <c r="P57" s="23"/>
      <c r="Q57" s="20"/>
      <c r="R57" s="24"/>
      <c r="S57" s="21"/>
      <c r="T57" s="23">
        <v>65</v>
      </c>
      <c r="U57" s="25">
        <v>756</v>
      </c>
      <c r="V57" s="23">
        <f t="shared" si="11"/>
        <v>71</v>
      </c>
      <c r="W57" s="25">
        <f t="shared" si="11"/>
        <v>814</v>
      </c>
      <c r="X57" s="23">
        <f t="shared" si="12"/>
        <v>56</v>
      </c>
      <c r="Y57" s="25">
        <f t="shared" si="12"/>
        <v>622</v>
      </c>
    </row>
    <row r="58" spans="1:25" x14ac:dyDescent="0.3">
      <c r="A58" s="1">
        <f t="shared" si="3"/>
        <v>55</v>
      </c>
      <c r="B58" s="17" t="s">
        <v>111</v>
      </c>
      <c r="C58" s="18" t="s">
        <v>112</v>
      </c>
      <c r="D58" s="19">
        <v>2025</v>
      </c>
      <c r="E58" s="20">
        <v>2025</v>
      </c>
      <c r="F58" s="21">
        <f t="shared" si="10"/>
        <v>2</v>
      </c>
      <c r="G58" s="22">
        <f t="shared" si="10"/>
        <v>11</v>
      </c>
      <c r="H58" s="23"/>
      <c r="I58" s="20"/>
      <c r="J58" s="24"/>
      <c r="K58" s="21"/>
      <c r="L58" s="23"/>
      <c r="M58" s="20"/>
      <c r="N58" s="21">
        <v>2</v>
      </c>
      <c r="O58" s="22">
        <v>11</v>
      </c>
      <c r="P58" s="23"/>
      <c r="Q58" s="20"/>
      <c r="R58" s="24"/>
      <c r="S58" s="21"/>
      <c r="T58" s="23"/>
      <c r="U58" s="25"/>
      <c r="V58" s="23">
        <f t="shared" si="11"/>
        <v>2</v>
      </c>
      <c r="W58" s="25">
        <f t="shared" si="11"/>
        <v>11</v>
      </c>
      <c r="X58" s="23">
        <f t="shared" si="12"/>
        <v>0</v>
      </c>
      <c r="Y58" s="25">
        <f t="shared" si="12"/>
        <v>0</v>
      </c>
    </row>
    <row r="59" spans="1:25" x14ac:dyDescent="0.3">
      <c r="A59" s="1">
        <f t="shared" si="3"/>
        <v>56</v>
      </c>
      <c r="B59" s="17" t="s">
        <v>113</v>
      </c>
      <c r="C59" s="18" t="s">
        <v>81</v>
      </c>
      <c r="D59" s="23">
        <v>1970</v>
      </c>
      <c r="E59" s="20">
        <v>1975</v>
      </c>
      <c r="F59" s="21">
        <f t="shared" si="10"/>
        <v>11</v>
      </c>
      <c r="G59" s="22">
        <f t="shared" si="10"/>
        <v>46</v>
      </c>
      <c r="H59" s="23"/>
      <c r="I59" s="20"/>
      <c r="J59" s="24"/>
      <c r="K59" s="21"/>
      <c r="L59" s="23"/>
      <c r="M59" s="20"/>
      <c r="N59" s="21"/>
      <c r="O59" s="22"/>
      <c r="P59" s="23">
        <v>5</v>
      </c>
      <c r="Q59" s="20">
        <v>34</v>
      </c>
      <c r="R59" s="24">
        <v>3</v>
      </c>
      <c r="S59" s="21">
        <v>4</v>
      </c>
      <c r="T59" s="23">
        <v>3</v>
      </c>
      <c r="U59" s="25">
        <v>8</v>
      </c>
      <c r="V59" s="23">
        <f t="shared" si="11"/>
        <v>8</v>
      </c>
      <c r="W59" s="25">
        <f t="shared" si="11"/>
        <v>38</v>
      </c>
      <c r="X59" s="23">
        <f t="shared" si="12"/>
        <v>0</v>
      </c>
      <c r="Y59" s="25">
        <f t="shared" si="12"/>
        <v>0</v>
      </c>
    </row>
    <row r="60" spans="1:25" x14ac:dyDescent="0.3">
      <c r="A60" s="1">
        <f t="shared" si="3"/>
        <v>57</v>
      </c>
      <c r="B60" s="26" t="s">
        <v>114</v>
      </c>
      <c r="C60" s="25" t="s">
        <v>76</v>
      </c>
      <c r="D60" s="23">
        <v>1951</v>
      </c>
      <c r="E60" s="20">
        <v>1951</v>
      </c>
      <c r="F60" s="21">
        <f t="shared" si="10"/>
        <v>7</v>
      </c>
      <c r="G60" s="22">
        <f t="shared" si="10"/>
        <v>0</v>
      </c>
      <c r="H60" s="23"/>
      <c r="I60" s="20"/>
      <c r="J60" s="24"/>
      <c r="K60" s="21"/>
      <c r="L60" s="23"/>
      <c r="M60" s="20"/>
      <c r="N60" s="21"/>
      <c r="O60" s="22"/>
      <c r="P60" s="23"/>
      <c r="Q60" s="20"/>
      <c r="R60" s="24"/>
      <c r="S60" s="21"/>
      <c r="T60" s="23">
        <v>7</v>
      </c>
      <c r="U60" s="25">
        <v>0</v>
      </c>
      <c r="V60" s="23">
        <f t="shared" si="11"/>
        <v>0</v>
      </c>
      <c r="W60" s="25">
        <f t="shared" si="11"/>
        <v>0</v>
      </c>
      <c r="X60" s="23">
        <f t="shared" si="12"/>
        <v>0</v>
      </c>
      <c r="Y60" s="25">
        <f t="shared" si="12"/>
        <v>0</v>
      </c>
    </row>
    <row r="61" spans="1:25" x14ac:dyDescent="0.3">
      <c r="A61" s="1">
        <f t="shared" si="3"/>
        <v>58</v>
      </c>
      <c r="B61" s="26" t="s">
        <v>115</v>
      </c>
      <c r="C61" s="25" t="s">
        <v>116</v>
      </c>
      <c r="D61" s="23">
        <v>1947</v>
      </c>
      <c r="E61" s="20">
        <v>1957</v>
      </c>
      <c r="F61" s="21">
        <f t="shared" si="10"/>
        <v>100</v>
      </c>
      <c r="G61" s="22">
        <f t="shared" si="10"/>
        <v>676</v>
      </c>
      <c r="H61" s="23"/>
      <c r="I61" s="20"/>
      <c r="J61" s="24">
        <v>10</v>
      </c>
      <c r="K61" s="21">
        <v>66</v>
      </c>
      <c r="L61" s="23">
        <v>32</v>
      </c>
      <c r="M61" s="20">
        <v>170</v>
      </c>
      <c r="N61" s="21">
        <v>5</v>
      </c>
      <c r="O61" s="22">
        <v>40</v>
      </c>
      <c r="P61" s="23"/>
      <c r="Q61" s="20"/>
      <c r="R61" s="24">
        <v>10</v>
      </c>
      <c r="S61" s="21">
        <v>98</v>
      </c>
      <c r="T61" s="23">
        <v>43</v>
      </c>
      <c r="U61" s="25">
        <v>302</v>
      </c>
      <c r="V61" s="23">
        <f t="shared" si="11"/>
        <v>57</v>
      </c>
      <c r="W61" s="25">
        <f t="shared" si="11"/>
        <v>374</v>
      </c>
      <c r="X61" s="23">
        <f t="shared" si="12"/>
        <v>42</v>
      </c>
      <c r="Y61" s="25">
        <f t="shared" si="12"/>
        <v>236</v>
      </c>
    </row>
    <row r="62" spans="1:25" x14ac:dyDescent="0.3">
      <c r="A62" s="1">
        <f t="shared" si="3"/>
        <v>59</v>
      </c>
      <c r="B62" s="17" t="s">
        <v>117</v>
      </c>
      <c r="C62" s="18" t="s">
        <v>44</v>
      </c>
      <c r="D62" s="23">
        <v>1991</v>
      </c>
      <c r="E62" s="20">
        <v>2000</v>
      </c>
      <c r="F62" s="21">
        <f t="shared" si="10"/>
        <v>76</v>
      </c>
      <c r="G62" s="22">
        <f t="shared" si="10"/>
        <v>320</v>
      </c>
      <c r="H62" s="23">
        <v>8</v>
      </c>
      <c r="I62" s="20">
        <v>19</v>
      </c>
      <c r="J62" s="24">
        <v>9</v>
      </c>
      <c r="K62" s="21">
        <v>8</v>
      </c>
      <c r="L62" s="23">
        <v>18</v>
      </c>
      <c r="M62" s="20">
        <v>114</v>
      </c>
      <c r="N62" s="21"/>
      <c r="O62" s="22"/>
      <c r="P62" s="23">
        <v>5</v>
      </c>
      <c r="Q62" s="20">
        <v>30</v>
      </c>
      <c r="R62" s="24"/>
      <c r="S62" s="21"/>
      <c r="T62" s="23">
        <v>36</v>
      </c>
      <c r="U62" s="25">
        <v>149</v>
      </c>
      <c r="V62" s="23">
        <f t="shared" si="11"/>
        <v>40</v>
      </c>
      <c r="W62" s="25">
        <f t="shared" si="11"/>
        <v>171</v>
      </c>
      <c r="X62" s="23">
        <f t="shared" si="12"/>
        <v>35</v>
      </c>
      <c r="Y62" s="25">
        <f t="shared" si="12"/>
        <v>141</v>
      </c>
    </row>
    <row r="63" spans="1:25" x14ac:dyDescent="0.3">
      <c r="A63" s="1">
        <f t="shared" si="3"/>
        <v>60</v>
      </c>
      <c r="B63" s="17" t="s">
        <v>118</v>
      </c>
      <c r="C63" s="18" t="s">
        <v>64</v>
      </c>
      <c r="D63" s="19">
        <v>2009</v>
      </c>
      <c r="E63" s="20">
        <v>2022</v>
      </c>
      <c r="F63" s="21">
        <f t="shared" si="10"/>
        <v>60</v>
      </c>
      <c r="G63" s="22">
        <f t="shared" si="10"/>
        <v>466</v>
      </c>
      <c r="H63" s="23"/>
      <c r="I63" s="20"/>
      <c r="J63" s="24">
        <v>8</v>
      </c>
      <c r="K63" s="21">
        <v>57</v>
      </c>
      <c r="L63" s="23">
        <v>15</v>
      </c>
      <c r="M63" s="20">
        <v>123</v>
      </c>
      <c r="N63" s="21">
        <v>7</v>
      </c>
      <c r="O63" s="22">
        <v>82</v>
      </c>
      <c r="P63" s="23">
        <v>6</v>
      </c>
      <c r="Q63" s="20">
        <v>8</v>
      </c>
      <c r="R63" s="24"/>
      <c r="S63" s="21"/>
      <c r="T63" s="23">
        <v>24</v>
      </c>
      <c r="U63" s="25">
        <v>196</v>
      </c>
      <c r="V63" s="23">
        <f t="shared" si="11"/>
        <v>36</v>
      </c>
      <c r="W63" s="25">
        <f t="shared" si="11"/>
        <v>270</v>
      </c>
      <c r="X63" s="23">
        <f t="shared" si="12"/>
        <v>23</v>
      </c>
      <c r="Y63" s="25">
        <f t="shared" si="12"/>
        <v>180</v>
      </c>
    </row>
    <row r="64" spans="1:25" x14ac:dyDescent="0.3">
      <c r="A64" s="1">
        <v>61</v>
      </c>
      <c r="B64" s="17" t="s">
        <v>119</v>
      </c>
      <c r="C64" s="18" t="s">
        <v>70</v>
      </c>
      <c r="D64" s="27">
        <v>1997</v>
      </c>
      <c r="E64" s="28">
        <v>2000</v>
      </c>
      <c r="F64" s="29">
        <f t="shared" si="10"/>
        <v>55</v>
      </c>
      <c r="G64" s="30">
        <f t="shared" si="10"/>
        <v>283</v>
      </c>
      <c r="H64" s="27">
        <v>7</v>
      </c>
      <c r="I64" s="28">
        <v>31</v>
      </c>
      <c r="J64" s="31">
        <v>9</v>
      </c>
      <c r="K64" s="29">
        <v>39</v>
      </c>
      <c r="L64" s="27">
        <v>9</v>
      </c>
      <c r="M64" s="28">
        <v>25</v>
      </c>
      <c r="N64" s="29"/>
      <c r="O64" s="30"/>
      <c r="P64" s="27">
        <v>6</v>
      </c>
      <c r="Q64" s="28">
        <v>94</v>
      </c>
      <c r="R64" s="31"/>
      <c r="S64" s="29"/>
      <c r="T64" s="27">
        <v>24</v>
      </c>
      <c r="U64" s="32">
        <v>94</v>
      </c>
      <c r="V64" s="27">
        <f t="shared" si="11"/>
        <v>31</v>
      </c>
      <c r="W64" s="32">
        <f t="shared" si="11"/>
        <v>189</v>
      </c>
      <c r="X64" s="27">
        <f t="shared" si="12"/>
        <v>25</v>
      </c>
      <c r="Y64" s="32">
        <f t="shared" si="12"/>
        <v>95</v>
      </c>
    </row>
    <row r="65" spans="1:25" x14ac:dyDescent="0.3">
      <c r="A65" s="1">
        <v>62</v>
      </c>
      <c r="B65" s="17" t="s">
        <v>120</v>
      </c>
      <c r="C65" s="18" t="s">
        <v>33</v>
      </c>
      <c r="D65" s="19">
        <v>2009</v>
      </c>
      <c r="E65" s="20">
        <v>2017</v>
      </c>
      <c r="F65" s="21">
        <f t="shared" si="10"/>
        <v>100</v>
      </c>
      <c r="G65" s="22">
        <f t="shared" si="10"/>
        <v>722</v>
      </c>
      <c r="H65" s="23">
        <v>8</v>
      </c>
      <c r="I65" s="20">
        <v>57</v>
      </c>
      <c r="J65" s="24">
        <v>9</v>
      </c>
      <c r="K65" s="21">
        <v>40</v>
      </c>
      <c r="L65" s="23">
        <v>29</v>
      </c>
      <c r="M65" s="20">
        <v>203</v>
      </c>
      <c r="N65" s="21">
        <v>12</v>
      </c>
      <c r="O65" s="22">
        <v>112</v>
      </c>
      <c r="P65" s="23"/>
      <c r="Q65" s="20"/>
      <c r="R65" s="24"/>
      <c r="S65" s="21"/>
      <c r="T65" s="23">
        <v>42</v>
      </c>
      <c r="U65" s="25">
        <v>310</v>
      </c>
      <c r="V65" s="23">
        <f t="shared" si="11"/>
        <v>58</v>
      </c>
      <c r="W65" s="25">
        <f t="shared" si="11"/>
        <v>412</v>
      </c>
      <c r="X65" s="23">
        <f t="shared" si="12"/>
        <v>46</v>
      </c>
      <c r="Y65" s="25">
        <f t="shared" si="12"/>
        <v>300</v>
      </c>
    </row>
    <row r="66" spans="1:25" x14ac:dyDescent="0.3">
      <c r="A66" s="1">
        <f t="shared" si="3"/>
        <v>63</v>
      </c>
      <c r="B66" s="17" t="s">
        <v>121</v>
      </c>
      <c r="C66" s="18" t="s">
        <v>76</v>
      </c>
      <c r="D66" s="19">
        <v>2013</v>
      </c>
      <c r="E66" s="20">
        <v>2013</v>
      </c>
      <c r="F66" s="21">
        <f t="shared" si="10"/>
        <v>4</v>
      </c>
      <c r="G66" s="22">
        <f t="shared" si="10"/>
        <v>6</v>
      </c>
      <c r="H66" s="23"/>
      <c r="I66" s="20"/>
      <c r="J66" s="24"/>
      <c r="K66" s="21"/>
      <c r="L66" s="23"/>
      <c r="M66" s="20"/>
      <c r="N66" s="21"/>
      <c r="O66" s="22"/>
      <c r="P66" s="23">
        <v>4</v>
      </c>
      <c r="Q66" s="20">
        <v>6</v>
      </c>
      <c r="R66" s="24"/>
      <c r="S66" s="21"/>
      <c r="T66" s="23"/>
      <c r="U66" s="25"/>
      <c r="V66" s="23">
        <f t="shared" si="11"/>
        <v>4</v>
      </c>
      <c r="W66" s="25">
        <f t="shared" si="11"/>
        <v>6</v>
      </c>
      <c r="X66" s="23">
        <f t="shared" si="12"/>
        <v>0</v>
      </c>
      <c r="Y66" s="25">
        <f t="shared" si="12"/>
        <v>0</v>
      </c>
    </row>
    <row r="67" spans="1:25" x14ac:dyDescent="0.3">
      <c r="A67" s="1">
        <f t="shared" si="3"/>
        <v>64</v>
      </c>
      <c r="B67" s="17" t="s">
        <v>122</v>
      </c>
      <c r="C67" s="18" t="s">
        <v>123</v>
      </c>
      <c r="D67" s="23">
        <v>1975</v>
      </c>
      <c r="E67" s="20">
        <v>1980</v>
      </c>
      <c r="F67" s="21">
        <f t="shared" si="10"/>
        <v>20</v>
      </c>
      <c r="G67" s="22">
        <f t="shared" si="10"/>
        <v>109</v>
      </c>
      <c r="H67" s="23"/>
      <c r="I67" s="20"/>
      <c r="J67" s="24"/>
      <c r="K67" s="21"/>
      <c r="L67" s="23"/>
      <c r="M67" s="20"/>
      <c r="N67" s="21"/>
      <c r="O67" s="22"/>
      <c r="P67" s="23">
        <v>5</v>
      </c>
      <c r="Q67" s="20">
        <v>33</v>
      </c>
      <c r="R67" s="24">
        <v>15</v>
      </c>
      <c r="S67" s="21">
        <v>76</v>
      </c>
      <c r="T67" s="23"/>
      <c r="U67" s="25"/>
      <c r="V67" s="23">
        <f t="shared" si="11"/>
        <v>20</v>
      </c>
      <c r="W67" s="25">
        <f t="shared" si="11"/>
        <v>109</v>
      </c>
      <c r="X67" s="23">
        <f t="shared" si="12"/>
        <v>0</v>
      </c>
      <c r="Y67" s="25">
        <f t="shared" si="12"/>
        <v>0</v>
      </c>
    </row>
    <row r="68" spans="1:25" x14ac:dyDescent="0.3">
      <c r="A68" s="1">
        <f t="shared" si="3"/>
        <v>65</v>
      </c>
      <c r="B68" s="17" t="s">
        <v>124</v>
      </c>
      <c r="C68" s="18" t="s">
        <v>125</v>
      </c>
      <c r="D68" s="23">
        <v>2017</v>
      </c>
      <c r="E68" s="20">
        <v>2025</v>
      </c>
      <c r="F68" s="21">
        <f t="shared" si="10"/>
        <v>58</v>
      </c>
      <c r="G68" s="22">
        <f t="shared" si="10"/>
        <v>368</v>
      </c>
      <c r="H68" s="23">
        <v>6</v>
      </c>
      <c r="I68" s="20">
        <v>20</v>
      </c>
      <c r="J68" s="24">
        <v>8</v>
      </c>
      <c r="K68" s="21">
        <v>62</v>
      </c>
      <c r="L68" s="23">
        <v>10</v>
      </c>
      <c r="M68" s="20">
        <v>64</v>
      </c>
      <c r="N68" s="21">
        <v>8</v>
      </c>
      <c r="O68" s="22">
        <v>62</v>
      </c>
      <c r="P68" s="23"/>
      <c r="Q68" s="20"/>
      <c r="R68" s="24"/>
      <c r="S68" s="21"/>
      <c r="T68" s="23">
        <v>26</v>
      </c>
      <c r="U68" s="25">
        <v>160</v>
      </c>
      <c r="V68" s="23">
        <f t="shared" si="11"/>
        <v>32</v>
      </c>
      <c r="W68" s="25">
        <f t="shared" si="11"/>
        <v>208</v>
      </c>
      <c r="X68" s="23">
        <f t="shared" si="12"/>
        <v>24</v>
      </c>
      <c r="Y68" s="25">
        <f t="shared" si="12"/>
        <v>146</v>
      </c>
    </row>
    <row r="69" spans="1:25" x14ac:dyDescent="0.3">
      <c r="A69" s="1">
        <f t="shared" si="3"/>
        <v>66</v>
      </c>
      <c r="B69" s="26" t="s">
        <v>126</v>
      </c>
      <c r="C69" s="25" t="s">
        <v>127</v>
      </c>
      <c r="D69" s="23">
        <v>1947</v>
      </c>
      <c r="E69" s="20">
        <v>1954</v>
      </c>
      <c r="F69" s="21">
        <f t="shared" si="10"/>
        <v>67</v>
      </c>
      <c r="G69" s="22">
        <f t="shared" si="10"/>
        <v>511</v>
      </c>
      <c r="H69" s="23"/>
      <c r="I69" s="20"/>
      <c r="J69" s="24">
        <v>5</v>
      </c>
      <c r="K69" s="21">
        <v>21</v>
      </c>
      <c r="L69" s="23">
        <v>16</v>
      </c>
      <c r="M69" s="20">
        <v>117</v>
      </c>
      <c r="N69" s="21">
        <v>5</v>
      </c>
      <c r="O69" s="22">
        <v>30</v>
      </c>
      <c r="P69" s="23"/>
      <c r="Q69" s="20"/>
      <c r="R69" s="24">
        <v>6</v>
      </c>
      <c r="S69" s="21">
        <v>54</v>
      </c>
      <c r="T69" s="23">
        <v>35</v>
      </c>
      <c r="U69" s="25">
        <v>289</v>
      </c>
      <c r="V69" s="23">
        <f t="shared" si="11"/>
        <v>32</v>
      </c>
      <c r="W69" s="25">
        <f t="shared" si="11"/>
        <v>222</v>
      </c>
      <c r="X69" s="23">
        <f t="shared" si="12"/>
        <v>21</v>
      </c>
      <c r="Y69" s="25">
        <f t="shared" si="12"/>
        <v>138</v>
      </c>
    </row>
    <row r="70" spans="1:25" x14ac:dyDescent="0.3">
      <c r="A70" s="1">
        <f t="shared" ref="A70:A130" si="13">A69+1</f>
        <v>67</v>
      </c>
      <c r="B70" s="17" t="s">
        <v>128</v>
      </c>
      <c r="C70" s="18" t="s">
        <v>64</v>
      </c>
      <c r="D70" s="19">
        <v>2014</v>
      </c>
      <c r="E70" s="20">
        <v>2014</v>
      </c>
      <c r="F70" s="21">
        <f t="shared" si="10"/>
        <v>9</v>
      </c>
      <c r="G70" s="22">
        <f t="shared" si="10"/>
        <v>48</v>
      </c>
      <c r="H70" s="23"/>
      <c r="I70" s="20"/>
      <c r="J70" s="24"/>
      <c r="K70" s="21"/>
      <c r="L70" s="23"/>
      <c r="M70" s="20"/>
      <c r="N70" s="21"/>
      <c r="O70" s="22"/>
      <c r="P70" s="23"/>
      <c r="Q70" s="20"/>
      <c r="R70" s="24"/>
      <c r="S70" s="21"/>
      <c r="T70" s="23">
        <v>9</v>
      </c>
      <c r="U70" s="25">
        <v>48</v>
      </c>
      <c r="V70" s="23">
        <f t="shared" si="11"/>
        <v>0</v>
      </c>
      <c r="W70" s="25">
        <f t="shared" si="11"/>
        <v>0</v>
      </c>
      <c r="X70" s="23">
        <f t="shared" si="12"/>
        <v>0</v>
      </c>
      <c r="Y70" s="25">
        <f t="shared" si="12"/>
        <v>0</v>
      </c>
    </row>
    <row r="71" spans="1:25" x14ac:dyDescent="0.3">
      <c r="A71" s="1">
        <f t="shared" si="13"/>
        <v>68</v>
      </c>
      <c r="B71" s="17" t="s">
        <v>129</v>
      </c>
      <c r="C71" s="18" t="s">
        <v>99</v>
      </c>
      <c r="D71" s="19">
        <v>2024</v>
      </c>
      <c r="E71" s="20">
        <v>2025</v>
      </c>
      <c r="F71" s="21">
        <f t="shared" si="10"/>
        <v>2</v>
      </c>
      <c r="G71" s="22">
        <f t="shared" si="10"/>
        <v>4</v>
      </c>
      <c r="H71" s="23"/>
      <c r="I71" s="20"/>
      <c r="J71" s="24"/>
      <c r="K71" s="21"/>
      <c r="L71" s="23"/>
      <c r="M71" s="20"/>
      <c r="N71" s="21">
        <v>2</v>
      </c>
      <c r="O71" s="22">
        <v>4</v>
      </c>
      <c r="P71" s="23"/>
      <c r="Q71" s="20"/>
      <c r="R71" s="24"/>
      <c r="S71" s="21"/>
      <c r="T71" s="23"/>
      <c r="U71" s="25"/>
      <c r="V71" s="23">
        <f t="shared" si="11"/>
        <v>2</v>
      </c>
      <c r="W71" s="25">
        <f t="shared" si="11"/>
        <v>4</v>
      </c>
      <c r="X71" s="23">
        <f t="shared" si="12"/>
        <v>0</v>
      </c>
      <c r="Y71" s="25">
        <f t="shared" si="12"/>
        <v>0</v>
      </c>
    </row>
    <row r="72" spans="1:25" x14ac:dyDescent="0.3">
      <c r="A72" s="1">
        <f t="shared" si="13"/>
        <v>69</v>
      </c>
      <c r="B72" s="26" t="s">
        <v>130</v>
      </c>
      <c r="C72" s="25" t="s">
        <v>76</v>
      </c>
      <c r="D72" s="23">
        <v>1960</v>
      </c>
      <c r="E72" s="20">
        <v>1960</v>
      </c>
      <c r="F72" s="21">
        <f t="shared" si="10"/>
        <v>4</v>
      </c>
      <c r="G72" s="22">
        <f t="shared" si="10"/>
        <v>0</v>
      </c>
      <c r="H72" s="23"/>
      <c r="I72" s="20"/>
      <c r="J72" s="24"/>
      <c r="K72" s="21"/>
      <c r="L72" s="23"/>
      <c r="M72" s="20"/>
      <c r="N72" s="21"/>
      <c r="O72" s="22"/>
      <c r="P72" s="23"/>
      <c r="Q72" s="20"/>
      <c r="R72" s="24">
        <v>4</v>
      </c>
      <c r="S72" s="21">
        <v>0</v>
      </c>
      <c r="T72" s="23"/>
      <c r="U72" s="25"/>
      <c r="V72" s="23">
        <f t="shared" si="11"/>
        <v>4</v>
      </c>
      <c r="W72" s="25">
        <f t="shared" si="11"/>
        <v>0</v>
      </c>
      <c r="X72" s="23">
        <f t="shared" si="12"/>
        <v>0</v>
      </c>
      <c r="Y72" s="25">
        <f t="shared" si="12"/>
        <v>0</v>
      </c>
    </row>
    <row r="73" spans="1:25" x14ac:dyDescent="0.3">
      <c r="A73" s="1">
        <f t="shared" si="13"/>
        <v>70</v>
      </c>
      <c r="B73" s="17" t="s">
        <v>130</v>
      </c>
      <c r="C73" s="18" t="s">
        <v>106</v>
      </c>
      <c r="D73" s="19">
        <v>2000</v>
      </c>
      <c r="E73" s="20">
        <v>2005</v>
      </c>
      <c r="F73" s="21">
        <f t="shared" si="10"/>
        <v>43</v>
      </c>
      <c r="G73" s="22">
        <f t="shared" si="10"/>
        <v>164</v>
      </c>
      <c r="H73" s="23"/>
      <c r="I73" s="20"/>
      <c r="J73" s="24"/>
      <c r="K73" s="21"/>
      <c r="L73" s="23">
        <v>10</v>
      </c>
      <c r="M73" s="20">
        <v>30</v>
      </c>
      <c r="N73" s="21"/>
      <c r="O73" s="22"/>
      <c r="P73" s="23"/>
      <c r="Q73" s="20"/>
      <c r="R73" s="24"/>
      <c r="S73" s="21"/>
      <c r="T73" s="23">
        <v>33</v>
      </c>
      <c r="U73" s="25">
        <v>134</v>
      </c>
      <c r="V73" s="23">
        <f t="shared" si="11"/>
        <v>10</v>
      </c>
      <c r="W73" s="25">
        <f t="shared" si="11"/>
        <v>30</v>
      </c>
      <c r="X73" s="23">
        <f t="shared" si="12"/>
        <v>10</v>
      </c>
      <c r="Y73" s="25">
        <f t="shared" si="12"/>
        <v>30</v>
      </c>
    </row>
    <row r="74" spans="1:25" x14ac:dyDescent="0.3">
      <c r="A74" s="1">
        <f t="shared" si="13"/>
        <v>71</v>
      </c>
      <c r="B74" s="17" t="s">
        <v>131</v>
      </c>
      <c r="C74" s="18" t="s">
        <v>70</v>
      </c>
      <c r="D74" s="19">
        <v>2009</v>
      </c>
      <c r="E74" s="20">
        <v>2021</v>
      </c>
      <c r="F74" s="21">
        <f t="shared" si="10"/>
        <v>73</v>
      </c>
      <c r="G74" s="22">
        <f t="shared" si="10"/>
        <v>373</v>
      </c>
      <c r="H74" s="23"/>
      <c r="I74" s="20"/>
      <c r="J74" s="24"/>
      <c r="K74" s="21"/>
      <c r="L74" s="23">
        <v>18</v>
      </c>
      <c r="M74" s="20">
        <v>56</v>
      </c>
      <c r="N74" s="21">
        <v>12</v>
      </c>
      <c r="O74" s="22">
        <v>98</v>
      </c>
      <c r="P74" s="23">
        <v>6</v>
      </c>
      <c r="Q74" s="20">
        <v>83</v>
      </c>
      <c r="R74" s="24"/>
      <c r="S74" s="21"/>
      <c r="T74" s="23">
        <v>37</v>
      </c>
      <c r="U74" s="25">
        <v>136</v>
      </c>
      <c r="V74" s="23">
        <f t="shared" ref="V74:W93" si="14">H74+J74+L74+N74+P74+R74</f>
        <v>36</v>
      </c>
      <c r="W74" s="25">
        <f t="shared" si="14"/>
        <v>237</v>
      </c>
      <c r="X74" s="23">
        <f t="shared" ref="X74:Y93" si="15">H74+J74+L74</f>
        <v>18</v>
      </c>
      <c r="Y74" s="25">
        <f t="shared" si="15"/>
        <v>56</v>
      </c>
    </row>
    <row r="75" spans="1:25" x14ac:dyDescent="0.3">
      <c r="A75" s="1">
        <f t="shared" si="13"/>
        <v>72</v>
      </c>
      <c r="B75" s="17" t="s">
        <v>132</v>
      </c>
      <c r="C75" s="18" t="s">
        <v>44</v>
      </c>
      <c r="D75" s="19">
        <v>2015</v>
      </c>
      <c r="E75" s="20">
        <v>2025</v>
      </c>
      <c r="F75" s="21">
        <f t="shared" ref="F75:G94" si="16">H75+J75+L75+N75+P75+R75+T75</f>
        <v>82</v>
      </c>
      <c r="G75" s="22">
        <f t="shared" si="16"/>
        <v>583</v>
      </c>
      <c r="H75" s="23">
        <v>6</v>
      </c>
      <c r="I75" s="20">
        <v>22</v>
      </c>
      <c r="J75" s="24">
        <v>16</v>
      </c>
      <c r="K75" s="21">
        <v>153</v>
      </c>
      <c r="L75" s="23">
        <v>18</v>
      </c>
      <c r="M75" s="20">
        <v>51</v>
      </c>
      <c r="N75" s="21">
        <v>8</v>
      </c>
      <c r="O75" s="22">
        <v>87</v>
      </c>
      <c r="P75" s="23"/>
      <c r="Q75" s="20"/>
      <c r="R75" s="24"/>
      <c r="S75" s="21"/>
      <c r="T75" s="23">
        <v>34</v>
      </c>
      <c r="U75" s="25">
        <v>270</v>
      </c>
      <c r="V75" s="23">
        <v>42</v>
      </c>
      <c r="W75" s="25">
        <v>288</v>
      </c>
      <c r="X75" s="23">
        <f t="shared" si="15"/>
        <v>40</v>
      </c>
      <c r="Y75" s="25">
        <f t="shared" si="15"/>
        <v>226</v>
      </c>
    </row>
    <row r="76" spans="1:25" x14ac:dyDescent="0.3">
      <c r="A76" s="1">
        <f t="shared" si="13"/>
        <v>73</v>
      </c>
      <c r="B76" s="17" t="s">
        <v>133</v>
      </c>
      <c r="C76" s="18" t="s">
        <v>106</v>
      </c>
      <c r="D76" s="23">
        <v>1993</v>
      </c>
      <c r="E76" s="20">
        <v>1993</v>
      </c>
      <c r="F76" s="21">
        <f t="shared" si="16"/>
        <v>1</v>
      </c>
      <c r="G76" s="22">
        <f t="shared" si="16"/>
        <v>0</v>
      </c>
      <c r="H76" s="23"/>
      <c r="I76" s="20"/>
      <c r="J76" s="24"/>
      <c r="K76" s="21"/>
      <c r="L76" s="23"/>
      <c r="M76" s="20"/>
      <c r="N76" s="21"/>
      <c r="O76" s="22"/>
      <c r="P76" s="23"/>
      <c r="Q76" s="20"/>
      <c r="R76" s="24"/>
      <c r="S76" s="21"/>
      <c r="T76" s="23">
        <v>1</v>
      </c>
      <c r="U76" s="25">
        <v>0</v>
      </c>
      <c r="V76" s="23">
        <f t="shared" si="14"/>
        <v>0</v>
      </c>
      <c r="W76" s="25">
        <f t="shared" si="14"/>
        <v>0</v>
      </c>
      <c r="X76" s="23">
        <f t="shared" si="15"/>
        <v>0</v>
      </c>
      <c r="Y76" s="25">
        <f t="shared" si="15"/>
        <v>0</v>
      </c>
    </row>
    <row r="77" spans="1:25" x14ac:dyDescent="0.3">
      <c r="A77" s="1">
        <f t="shared" si="13"/>
        <v>74</v>
      </c>
      <c r="B77" s="26" t="s">
        <v>134</v>
      </c>
      <c r="C77" s="25" t="s">
        <v>135</v>
      </c>
      <c r="D77" s="23">
        <v>1947</v>
      </c>
      <c r="E77" s="20">
        <v>1952</v>
      </c>
      <c r="F77" s="21">
        <f t="shared" si="16"/>
        <v>24</v>
      </c>
      <c r="G77" s="22">
        <f t="shared" si="16"/>
        <v>30</v>
      </c>
      <c r="H77" s="23"/>
      <c r="I77" s="20"/>
      <c r="J77" s="24"/>
      <c r="K77" s="21"/>
      <c r="L77" s="23">
        <v>4</v>
      </c>
      <c r="M77" s="20">
        <v>3</v>
      </c>
      <c r="N77" s="21"/>
      <c r="O77" s="22"/>
      <c r="P77" s="23"/>
      <c r="Q77" s="20"/>
      <c r="R77" s="24">
        <v>10</v>
      </c>
      <c r="S77" s="21">
        <v>22</v>
      </c>
      <c r="T77" s="23">
        <v>10</v>
      </c>
      <c r="U77" s="25">
        <v>5</v>
      </c>
      <c r="V77" s="23">
        <f t="shared" si="14"/>
        <v>14</v>
      </c>
      <c r="W77" s="25">
        <f t="shared" si="14"/>
        <v>25</v>
      </c>
      <c r="X77" s="23">
        <f t="shared" si="15"/>
        <v>4</v>
      </c>
      <c r="Y77" s="25">
        <f t="shared" si="15"/>
        <v>3</v>
      </c>
    </row>
    <row r="78" spans="1:25" x14ac:dyDescent="0.3">
      <c r="A78" s="1">
        <f t="shared" si="13"/>
        <v>75</v>
      </c>
      <c r="B78" s="17" t="s">
        <v>136</v>
      </c>
      <c r="C78" s="18" t="s">
        <v>106</v>
      </c>
      <c r="D78" s="19">
        <v>2012</v>
      </c>
      <c r="E78" s="20">
        <v>2013</v>
      </c>
      <c r="F78" s="21">
        <f t="shared" si="16"/>
        <v>14</v>
      </c>
      <c r="G78" s="22">
        <f t="shared" si="16"/>
        <v>51</v>
      </c>
      <c r="H78" s="23"/>
      <c r="I78" s="20"/>
      <c r="J78" s="24"/>
      <c r="K78" s="21"/>
      <c r="L78" s="23"/>
      <c r="M78" s="20"/>
      <c r="N78" s="21">
        <v>7</v>
      </c>
      <c r="O78" s="22">
        <v>23</v>
      </c>
      <c r="P78" s="23"/>
      <c r="Q78" s="20"/>
      <c r="R78" s="24"/>
      <c r="S78" s="21"/>
      <c r="T78" s="23">
        <v>7</v>
      </c>
      <c r="U78" s="25">
        <v>28</v>
      </c>
      <c r="V78" s="23">
        <f t="shared" si="14"/>
        <v>7</v>
      </c>
      <c r="W78" s="25">
        <f t="shared" si="14"/>
        <v>23</v>
      </c>
      <c r="X78" s="23">
        <f t="shared" si="15"/>
        <v>0</v>
      </c>
      <c r="Y78" s="25">
        <f t="shared" si="15"/>
        <v>0</v>
      </c>
    </row>
    <row r="79" spans="1:25" x14ac:dyDescent="0.3">
      <c r="A79" s="1">
        <f t="shared" si="13"/>
        <v>76</v>
      </c>
      <c r="B79" s="17" t="s">
        <v>137</v>
      </c>
      <c r="C79" s="18" t="s">
        <v>138</v>
      </c>
      <c r="D79" s="23">
        <v>1988</v>
      </c>
      <c r="E79" s="20">
        <v>1990</v>
      </c>
      <c r="F79" s="21">
        <f t="shared" si="16"/>
        <v>9</v>
      </c>
      <c r="G79" s="22">
        <f t="shared" si="16"/>
        <v>142</v>
      </c>
      <c r="H79" s="23"/>
      <c r="I79" s="20"/>
      <c r="J79" s="24"/>
      <c r="K79" s="21"/>
      <c r="L79" s="23"/>
      <c r="M79" s="20"/>
      <c r="N79" s="21"/>
      <c r="O79" s="22"/>
      <c r="P79" s="23"/>
      <c r="Q79" s="20"/>
      <c r="R79" s="24">
        <v>9</v>
      </c>
      <c r="S79" s="21">
        <v>142</v>
      </c>
      <c r="T79" s="23"/>
      <c r="U79" s="25"/>
      <c r="V79" s="23">
        <f t="shared" si="14"/>
        <v>9</v>
      </c>
      <c r="W79" s="25">
        <f t="shared" si="14"/>
        <v>142</v>
      </c>
      <c r="X79" s="23">
        <f t="shared" si="15"/>
        <v>0</v>
      </c>
      <c r="Y79" s="25">
        <f t="shared" si="15"/>
        <v>0</v>
      </c>
    </row>
    <row r="80" spans="1:25" x14ac:dyDescent="0.3">
      <c r="A80" s="1">
        <f t="shared" si="13"/>
        <v>77</v>
      </c>
      <c r="B80" s="17" t="s">
        <v>137</v>
      </c>
      <c r="C80" s="18" t="s">
        <v>139</v>
      </c>
      <c r="D80" s="23">
        <v>2025</v>
      </c>
      <c r="E80" s="20">
        <v>2025</v>
      </c>
      <c r="F80" s="21">
        <f t="shared" si="16"/>
        <v>2</v>
      </c>
      <c r="G80" s="22">
        <f t="shared" si="16"/>
        <v>14</v>
      </c>
      <c r="H80" s="23"/>
      <c r="I80" s="20"/>
      <c r="J80" s="24"/>
      <c r="K80" s="21"/>
      <c r="L80" s="23"/>
      <c r="M80" s="20"/>
      <c r="N80" s="21">
        <v>2</v>
      </c>
      <c r="O80" s="22">
        <v>14</v>
      </c>
      <c r="P80" s="23"/>
      <c r="Q80" s="20"/>
      <c r="R80" s="24"/>
      <c r="S80" s="21"/>
      <c r="T80" s="23"/>
      <c r="U80" s="25"/>
      <c r="V80" s="23">
        <f t="shared" si="14"/>
        <v>2</v>
      </c>
      <c r="W80" s="25">
        <f t="shared" si="14"/>
        <v>14</v>
      </c>
      <c r="X80" s="23">
        <f t="shared" si="15"/>
        <v>0</v>
      </c>
      <c r="Y80" s="25">
        <f t="shared" si="15"/>
        <v>0</v>
      </c>
    </row>
    <row r="81" spans="1:25" x14ac:dyDescent="0.3">
      <c r="A81" s="1">
        <f t="shared" si="13"/>
        <v>78</v>
      </c>
      <c r="B81" s="26" t="s">
        <v>140</v>
      </c>
      <c r="C81" s="25" t="s">
        <v>50</v>
      </c>
      <c r="D81" s="23">
        <v>1946</v>
      </c>
      <c r="E81" s="20">
        <v>1950</v>
      </c>
      <c r="F81" s="21">
        <f t="shared" si="16"/>
        <v>10</v>
      </c>
      <c r="G81" s="22">
        <f t="shared" si="16"/>
        <v>37</v>
      </c>
      <c r="H81" s="23"/>
      <c r="I81" s="20"/>
      <c r="J81" s="24"/>
      <c r="K81" s="21"/>
      <c r="L81" s="23"/>
      <c r="M81" s="20"/>
      <c r="N81" s="21">
        <v>3</v>
      </c>
      <c r="O81" s="22">
        <v>0</v>
      </c>
      <c r="P81" s="23"/>
      <c r="Q81" s="20"/>
      <c r="R81" s="24">
        <v>7</v>
      </c>
      <c r="S81" s="21">
        <v>37</v>
      </c>
      <c r="T81" s="23"/>
      <c r="U81" s="25"/>
      <c r="V81" s="23">
        <f t="shared" si="14"/>
        <v>10</v>
      </c>
      <c r="W81" s="25">
        <f t="shared" si="14"/>
        <v>37</v>
      </c>
      <c r="X81" s="23">
        <f t="shared" si="15"/>
        <v>0</v>
      </c>
      <c r="Y81" s="25">
        <f t="shared" si="15"/>
        <v>0</v>
      </c>
    </row>
    <row r="82" spans="1:25" x14ac:dyDescent="0.3">
      <c r="A82" s="1">
        <f t="shared" si="13"/>
        <v>79</v>
      </c>
      <c r="B82" s="26" t="s">
        <v>141</v>
      </c>
      <c r="C82" s="25" t="s">
        <v>142</v>
      </c>
      <c r="D82" s="23">
        <v>1950</v>
      </c>
      <c r="E82" s="20">
        <v>1952</v>
      </c>
      <c r="F82" s="21">
        <f t="shared" si="16"/>
        <v>9</v>
      </c>
      <c r="G82" s="22">
        <f t="shared" si="16"/>
        <v>11</v>
      </c>
      <c r="H82" s="23"/>
      <c r="I82" s="20"/>
      <c r="J82" s="24">
        <v>5</v>
      </c>
      <c r="K82" s="21">
        <v>5</v>
      </c>
      <c r="L82" s="23"/>
      <c r="M82" s="20"/>
      <c r="N82" s="21"/>
      <c r="O82" s="22"/>
      <c r="P82" s="23"/>
      <c r="Q82" s="20"/>
      <c r="R82" s="24"/>
      <c r="S82" s="21"/>
      <c r="T82" s="23">
        <v>4</v>
      </c>
      <c r="U82" s="25">
        <v>6</v>
      </c>
      <c r="V82" s="23">
        <f t="shared" si="14"/>
        <v>5</v>
      </c>
      <c r="W82" s="25">
        <f t="shared" si="14"/>
        <v>5</v>
      </c>
      <c r="X82" s="23">
        <f t="shared" si="15"/>
        <v>5</v>
      </c>
      <c r="Y82" s="25">
        <f t="shared" si="15"/>
        <v>5</v>
      </c>
    </row>
    <row r="83" spans="1:25" x14ac:dyDescent="0.3">
      <c r="A83" s="1">
        <f t="shared" si="13"/>
        <v>80</v>
      </c>
      <c r="B83" s="17" t="s">
        <v>143</v>
      </c>
      <c r="C83" s="18" t="s">
        <v>144</v>
      </c>
      <c r="D83" s="23">
        <v>1988</v>
      </c>
      <c r="E83" s="20">
        <v>1990</v>
      </c>
      <c r="F83" s="21">
        <f t="shared" si="16"/>
        <v>48</v>
      </c>
      <c r="G83" s="22">
        <f t="shared" si="16"/>
        <v>249</v>
      </c>
      <c r="H83" s="23">
        <v>8</v>
      </c>
      <c r="I83" s="20">
        <v>79</v>
      </c>
      <c r="J83" s="24">
        <v>8</v>
      </c>
      <c r="K83" s="21">
        <v>21</v>
      </c>
      <c r="L83" s="23"/>
      <c r="M83" s="20"/>
      <c r="N83" s="21">
        <v>14</v>
      </c>
      <c r="O83" s="22">
        <v>76</v>
      </c>
      <c r="P83" s="23"/>
      <c r="Q83" s="20"/>
      <c r="R83" s="24"/>
      <c r="S83" s="21"/>
      <c r="T83" s="23">
        <v>18</v>
      </c>
      <c r="U83" s="25">
        <v>73</v>
      </c>
      <c r="V83" s="23">
        <f t="shared" si="14"/>
        <v>30</v>
      </c>
      <c r="W83" s="25">
        <f t="shared" si="14"/>
        <v>176</v>
      </c>
      <c r="X83" s="23">
        <f t="shared" si="15"/>
        <v>16</v>
      </c>
      <c r="Y83" s="25">
        <f t="shared" si="15"/>
        <v>100</v>
      </c>
    </row>
    <row r="84" spans="1:25" x14ac:dyDescent="0.3">
      <c r="A84" s="1">
        <f t="shared" si="13"/>
        <v>81</v>
      </c>
      <c r="B84" s="17" t="s">
        <v>145</v>
      </c>
      <c r="C84" s="18" t="s">
        <v>146</v>
      </c>
      <c r="D84" s="19">
        <v>1997</v>
      </c>
      <c r="E84" s="20">
        <v>2004</v>
      </c>
      <c r="F84" s="21">
        <f t="shared" si="16"/>
        <v>34</v>
      </c>
      <c r="G84" s="22">
        <f t="shared" si="16"/>
        <v>105</v>
      </c>
      <c r="H84" s="23">
        <v>6</v>
      </c>
      <c r="I84" s="20">
        <v>8</v>
      </c>
      <c r="J84" s="24"/>
      <c r="K84" s="21"/>
      <c r="L84" s="23">
        <v>7</v>
      </c>
      <c r="M84" s="20">
        <v>44</v>
      </c>
      <c r="N84" s="21"/>
      <c r="O84" s="22"/>
      <c r="P84" s="23">
        <v>6</v>
      </c>
      <c r="Q84" s="20">
        <v>19</v>
      </c>
      <c r="R84" s="24"/>
      <c r="S84" s="21"/>
      <c r="T84" s="23">
        <v>15</v>
      </c>
      <c r="U84" s="25">
        <v>34</v>
      </c>
      <c r="V84" s="23">
        <f t="shared" si="14"/>
        <v>19</v>
      </c>
      <c r="W84" s="25">
        <f t="shared" si="14"/>
        <v>71</v>
      </c>
      <c r="X84" s="23">
        <f t="shared" si="15"/>
        <v>13</v>
      </c>
      <c r="Y84" s="25">
        <f t="shared" si="15"/>
        <v>52</v>
      </c>
    </row>
    <row r="85" spans="1:25" x14ac:dyDescent="0.3">
      <c r="A85" s="1">
        <f t="shared" si="13"/>
        <v>82</v>
      </c>
      <c r="B85" s="17" t="s">
        <v>147</v>
      </c>
      <c r="C85" s="18" t="s">
        <v>148</v>
      </c>
      <c r="D85" s="23">
        <v>1991</v>
      </c>
      <c r="E85" s="20">
        <v>1991</v>
      </c>
      <c r="F85" s="21">
        <f t="shared" si="16"/>
        <v>5</v>
      </c>
      <c r="G85" s="22">
        <f t="shared" si="16"/>
        <v>42</v>
      </c>
      <c r="H85" s="23"/>
      <c r="I85" s="20"/>
      <c r="J85" s="24"/>
      <c r="K85" s="21"/>
      <c r="L85" s="23"/>
      <c r="M85" s="20"/>
      <c r="N85" s="21"/>
      <c r="O85" s="22"/>
      <c r="P85" s="23">
        <v>5</v>
      </c>
      <c r="Q85" s="20">
        <v>42</v>
      </c>
      <c r="R85" s="24"/>
      <c r="S85" s="21"/>
      <c r="T85" s="23"/>
      <c r="U85" s="25"/>
      <c r="V85" s="23">
        <f t="shared" si="14"/>
        <v>5</v>
      </c>
      <c r="W85" s="25">
        <f t="shared" si="14"/>
        <v>42</v>
      </c>
      <c r="X85" s="23">
        <f t="shared" si="15"/>
        <v>0</v>
      </c>
      <c r="Y85" s="25">
        <f t="shared" si="15"/>
        <v>0</v>
      </c>
    </row>
    <row r="86" spans="1:25" x14ac:dyDescent="0.3">
      <c r="A86" s="1">
        <f t="shared" si="13"/>
        <v>83</v>
      </c>
      <c r="B86" s="17" t="s">
        <v>149</v>
      </c>
      <c r="C86" s="18" t="s">
        <v>150</v>
      </c>
      <c r="D86" s="23">
        <v>1986</v>
      </c>
      <c r="E86" s="20">
        <v>1996</v>
      </c>
      <c r="F86" s="21">
        <f t="shared" si="16"/>
        <v>134</v>
      </c>
      <c r="G86" s="22">
        <f t="shared" si="16"/>
        <v>1549</v>
      </c>
      <c r="H86" s="23">
        <v>16</v>
      </c>
      <c r="I86" s="20">
        <v>153</v>
      </c>
      <c r="J86" s="24">
        <v>8</v>
      </c>
      <c r="K86" s="21">
        <v>104</v>
      </c>
      <c r="L86" s="23">
        <v>27</v>
      </c>
      <c r="M86" s="20">
        <v>273</v>
      </c>
      <c r="N86" s="21">
        <v>22</v>
      </c>
      <c r="O86" s="22">
        <v>236</v>
      </c>
      <c r="P86" s="23"/>
      <c r="Q86" s="20"/>
      <c r="R86" s="24"/>
      <c r="S86" s="21"/>
      <c r="T86" s="23">
        <v>61</v>
      </c>
      <c r="U86" s="25">
        <v>783</v>
      </c>
      <c r="V86" s="23">
        <f t="shared" si="14"/>
        <v>73</v>
      </c>
      <c r="W86" s="25">
        <f t="shared" si="14"/>
        <v>766</v>
      </c>
      <c r="X86" s="23">
        <f t="shared" si="15"/>
        <v>51</v>
      </c>
      <c r="Y86" s="25">
        <f t="shared" si="15"/>
        <v>530</v>
      </c>
    </row>
    <row r="87" spans="1:25" x14ac:dyDescent="0.3">
      <c r="A87" s="1">
        <f t="shared" si="13"/>
        <v>84</v>
      </c>
      <c r="B87" s="17" t="s">
        <v>151</v>
      </c>
      <c r="C87" s="18" t="s">
        <v>152</v>
      </c>
      <c r="D87" s="19">
        <v>2009</v>
      </c>
      <c r="E87" s="20">
        <v>2019</v>
      </c>
      <c r="F87" s="21">
        <f t="shared" si="16"/>
        <v>72</v>
      </c>
      <c r="G87" s="22">
        <f t="shared" si="16"/>
        <v>233</v>
      </c>
      <c r="H87" s="23"/>
      <c r="I87" s="20"/>
      <c r="J87" s="24">
        <v>9</v>
      </c>
      <c r="K87" s="21">
        <v>18</v>
      </c>
      <c r="L87" s="23">
        <v>20</v>
      </c>
      <c r="M87" s="20">
        <v>35</v>
      </c>
      <c r="N87" s="21">
        <v>12</v>
      </c>
      <c r="O87" s="22">
        <v>53</v>
      </c>
      <c r="P87" s="23"/>
      <c r="Q87" s="20"/>
      <c r="R87" s="24"/>
      <c r="S87" s="21"/>
      <c r="T87" s="23">
        <v>31</v>
      </c>
      <c r="U87" s="25">
        <v>127</v>
      </c>
      <c r="V87" s="23">
        <f t="shared" si="14"/>
        <v>41</v>
      </c>
      <c r="W87" s="25">
        <f t="shared" si="14"/>
        <v>106</v>
      </c>
      <c r="X87" s="23">
        <f t="shared" si="15"/>
        <v>29</v>
      </c>
      <c r="Y87" s="25">
        <f t="shared" si="15"/>
        <v>53</v>
      </c>
    </row>
    <row r="88" spans="1:25" x14ac:dyDescent="0.3">
      <c r="A88" s="1">
        <f t="shared" si="13"/>
        <v>85</v>
      </c>
      <c r="B88" s="17" t="s">
        <v>153</v>
      </c>
      <c r="C88" s="18" t="s">
        <v>50</v>
      </c>
      <c r="D88" s="19">
        <v>2001</v>
      </c>
      <c r="E88" s="20">
        <v>2005</v>
      </c>
      <c r="F88" s="21">
        <f t="shared" si="16"/>
        <v>28</v>
      </c>
      <c r="G88" s="22">
        <f t="shared" si="16"/>
        <v>130</v>
      </c>
      <c r="H88" s="23">
        <v>6</v>
      </c>
      <c r="I88" s="20">
        <v>14</v>
      </c>
      <c r="J88" s="24"/>
      <c r="K88" s="21"/>
      <c r="L88" s="23"/>
      <c r="M88" s="20"/>
      <c r="N88" s="21"/>
      <c r="O88" s="22"/>
      <c r="P88" s="23">
        <v>6</v>
      </c>
      <c r="Q88" s="20">
        <v>35</v>
      </c>
      <c r="R88" s="24"/>
      <c r="S88" s="21"/>
      <c r="T88" s="23">
        <v>16</v>
      </c>
      <c r="U88" s="25">
        <v>81</v>
      </c>
      <c r="V88" s="23">
        <f t="shared" si="14"/>
        <v>12</v>
      </c>
      <c r="W88" s="25">
        <f t="shared" si="14"/>
        <v>49</v>
      </c>
      <c r="X88" s="23">
        <f t="shared" si="15"/>
        <v>6</v>
      </c>
      <c r="Y88" s="25">
        <f t="shared" si="15"/>
        <v>14</v>
      </c>
    </row>
    <row r="89" spans="1:25" x14ac:dyDescent="0.3">
      <c r="A89" s="1">
        <f t="shared" si="13"/>
        <v>86</v>
      </c>
      <c r="B89" s="17" t="s">
        <v>154</v>
      </c>
      <c r="C89" s="18" t="s">
        <v>29</v>
      </c>
      <c r="D89" s="23">
        <v>1988</v>
      </c>
      <c r="E89" s="20">
        <v>1991</v>
      </c>
      <c r="F89" s="21">
        <f t="shared" si="16"/>
        <v>32</v>
      </c>
      <c r="G89" s="22">
        <f t="shared" si="16"/>
        <v>80</v>
      </c>
      <c r="H89" s="23"/>
      <c r="I89" s="20"/>
      <c r="J89" s="24"/>
      <c r="K89" s="21"/>
      <c r="L89" s="23"/>
      <c r="M89" s="20"/>
      <c r="N89" s="21">
        <v>12</v>
      </c>
      <c r="O89" s="22">
        <v>30</v>
      </c>
      <c r="P89" s="23"/>
      <c r="Q89" s="20"/>
      <c r="R89" s="24"/>
      <c r="S89" s="21"/>
      <c r="T89" s="23">
        <v>20</v>
      </c>
      <c r="U89" s="25">
        <v>50</v>
      </c>
      <c r="V89" s="23">
        <f t="shared" si="14"/>
        <v>12</v>
      </c>
      <c r="W89" s="25">
        <f t="shared" si="14"/>
        <v>30</v>
      </c>
      <c r="X89" s="23">
        <f t="shared" si="15"/>
        <v>0</v>
      </c>
      <c r="Y89" s="25">
        <f t="shared" si="15"/>
        <v>0</v>
      </c>
    </row>
    <row r="90" spans="1:25" x14ac:dyDescent="0.3">
      <c r="A90" s="1">
        <f t="shared" si="13"/>
        <v>87</v>
      </c>
      <c r="B90" s="17" t="s">
        <v>155</v>
      </c>
      <c r="C90" s="18" t="s">
        <v>156</v>
      </c>
      <c r="D90" s="19">
        <v>2003</v>
      </c>
      <c r="E90" s="20">
        <v>2011</v>
      </c>
      <c r="F90" s="21">
        <f t="shared" si="16"/>
        <v>94</v>
      </c>
      <c r="G90" s="22">
        <f t="shared" si="16"/>
        <v>549</v>
      </c>
      <c r="H90" s="23"/>
      <c r="I90" s="20"/>
      <c r="J90" s="24">
        <v>15</v>
      </c>
      <c r="K90" s="21">
        <v>75</v>
      </c>
      <c r="L90" s="23">
        <v>27</v>
      </c>
      <c r="M90" s="20">
        <v>135</v>
      </c>
      <c r="N90" s="21">
        <v>7</v>
      </c>
      <c r="O90" s="22">
        <v>50</v>
      </c>
      <c r="P90" s="23"/>
      <c r="Q90" s="20"/>
      <c r="R90" s="24"/>
      <c r="S90" s="21"/>
      <c r="T90" s="23">
        <v>45</v>
      </c>
      <c r="U90" s="25">
        <v>289</v>
      </c>
      <c r="V90" s="23">
        <f t="shared" si="14"/>
        <v>49</v>
      </c>
      <c r="W90" s="25">
        <f t="shared" si="14"/>
        <v>260</v>
      </c>
      <c r="X90" s="23">
        <f t="shared" si="15"/>
        <v>42</v>
      </c>
      <c r="Y90" s="25">
        <f t="shared" si="15"/>
        <v>210</v>
      </c>
    </row>
    <row r="91" spans="1:25" x14ac:dyDescent="0.3">
      <c r="A91" s="1">
        <f t="shared" si="13"/>
        <v>88</v>
      </c>
      <c r="B91" s="17" t="s">
        <v>157</v>
      </c>
      <c r="C91" s="18" t="s">
        <v>158</v>
      </c>
      <c r="D91" s="23">
        <v>1980</v>
      </c>
      <c r="E91" s="20">
        <v>1980</v>
      </c>
      <c r="F91" s="21">
        <f t="shared" si="16"/>
        <v>8</v>
      </c>
      <c r="G91" s="22">
        <f t="shared" si="16"/>
        <v>83</v>
      </c>
      <c r="H91" s="23"/>
      <c r="I91" s="20"/>
      <c r="J91" s="24"/>
      <c r="K91" s="21"/>
      <c r="L91" s="23"/>
      <c r="M91" s="20"/>
      <c r="N91" s="21"/>
      <c r="O91" s="22"/>
      <c r="P91" s="23"/>
      <c r="Q91" s="20"/>
      <c r="R91" s="24">
        <v>4</v>
      </c>
      <c r="S91" s="21">
        <v>53</v>
      </c>
      <c r="T91" s="23">
        <v>4</v>
      </c>
      <c r="U91" s="25">
        <v>30</v>
      </c>
      <c r="V91" s="23">
        <f t="shared" si="14"/>
        <v>4</v>
      </c>
      <c r="W91" s="25">
        <f t="shared" si="14"/>
        <v>53</v>
      </c>
      <c r="X91" s="23">
        <f t="shared" si="15"/>
        <v>0</v>
      </c>
      <c r="Y91" s="25">
        <f t="shared" si="15"/>
        <v>0</v>
      </c>
    </row>
    <row r="92" spans="1:25" x14ac:dyDescent="0.3">
      <c r="A92" s="1">
        <f t="shared" si="13"/>
        <v>89</v>
      </c>
      <c r="B92" s="17" t="s">
        <v>159</v>
      </c>
      <c r="C92" s="18" t="s">
        <v>160</v>
      </c>
      <c r="D92" s="23">
        <v>1979</v>
      </c>
      <c r="E92" s="20">
        <v>1985</v>
      </c>
      <c r="F92" s="21">
        <f t="shared" si="16"/>
        <v>67</v>
      </c>
      <c r="G92" s="22">
        <f t="shared" si="16"/>
        <v>605</v>
      </c>
      <c r="H92" s="23"/>
      <c r="I92" s="20"/>
      <c r="J92" s="24">
        <v>9</v>
      </c>
      <c r="K92" s="21">
        <v>75</v>
      </c>
      <c r="L92" s="23">
        <v>17</v>
      </c>
      <c r="M92" s="20">
        <v>146</v>
      </c>
      <c r="N92" s="21"/>
      <c r="O92" s="22"/>
      <c r="P92" s="23">
        <v>5</v>
      </c>
      <c r="Q92" s="20">
        <v>74</v>
      </c>
      <c r="R92" s="24">
        <v>8</v>
      </c>
      <c r="S92" s="21">
        <v>91</v>
      </c>
      <c r="T92" s="23">
        <v>28</v>
      </c>
      <c r="U92" s="25">
        <v>219</v>
      </c>
      <c r="V92" s="23">
        <f t="shared" si="14"/>
        <v>39</v>
      </c>
      <c r="W92" s="25">
        <f t="shared" si="14"/>
        <v>386</v>
      </c>
      <c r="X92" s="23">
        <f t="shared" si="15"/>
        <v>26</v>
      </c>
      <c r="Y92" s="25">
        <f t="shared" si="15"/>
        <v>221</v>
      </c>
    </row>
    <row r="93" spans="1:25" x14ac:dyDescent="0.3">
      <c r="A93" s="1">
        <f t="shared" si="13"/>
        <v>90</v>
      </c>
      <c r="B93" s="17" t="s">
        <v>159</v>
      </c>
      <c r="C93" s="18" t="s">
        <v>161</v>
      </c>
      <c r="D93" s="19">
        <v>1997</v>
      </c>
      <c r="E93" s="20">
        <v>2002</v>
      </c>
      <c r="F93" s="21">
        <f t="shared" si="16"/>
        <v>27</v>
      </c>
      <c r="G93" s="22">
        <f t="shared" si="16"/>
        <v>84</v>
      </c>
      <c r="H93" s="23"/>
      <c r="I93" s="20"/>
      <c r="J93" s="24"/>
      <c r="K93" s="21"/>
      <c r="L93" s="23">
        <v>6</v>
      </c>
      <c r="M93" s="20">
        <v>7</v>
      </c>
      <c r="N93" s="21"/>
      <c r="O93" s="22"/>
      <c r="P93" s="23">
        <v>6</v>
      </c>
      <c r="Q93" s="20">
        <v>36</v>
      </c>
      <c r="R93" s="24"/>
      <c r="S93" s="21"/>
      <c r="T93" s="23">
        <v>15</v>
      </c>
      <c r="U93" s="25">
        <v>41</v>
      </c>
      <c r="V93" s="23">
        <f t="shared" si="14"/>
        <v>12</v>
      </c>
      <c r="W93" s="25">
        <f t="shared" si="14"/>
        <v>43</v>
      </c>
      <c r="X93" s="23">
        <f t="shared" si="15"/>
        <v>6</v>
      </c>
      <c r="Y93" s="25">
        <f t="shared" si="15"/>
        <v>7</v>
      </c>
    </row>
    <row r="94" spans="1:25" x14ac:dyDescent="0.3">
      <c r="A94" s="1">
        <f t="shared" si="13"/>
        <v>91</v>
      </c>
      <c r="B94" s="17" t="s">
        <v>162</v>
      </c>
      <c r="C94" s="18" t="s">
        <v>163</v>
      </c>
      <c r="D94" s="23">
        <v>2024</v>
      </c>
      <c r="E94" s="20">
        <v>2024</v>
      </c>
      <c r="F94" s="21">
        <f t="shared" si="16"/>
        <v>6</v>
      </c>
      <c r="G94" s="22">
        <f t="shared" si="16"/>
        <v>16</v>
      </c>
      <c r="H94" s="23"/>
      <c r="I94" s="20"/>
      <c r="J94" s="24"/>
      <c r="K94" s="21"/>
      <c r="L94" s="23"/>
      <c r="M94" s="20"/>
      <c r="N94" s="21"/>
      <c r="O94" s="22"/>
      <c r="P94" s="23"/>
      <c r="Q94" s="20"/>
      <c r="R94" s="24"/>
      <c r="S94" s="21"/>
      <c r="T94" s="23">
        <v>6</v>
      </c>
      <c r="U94" s="25">
        <v>16</v>
      </c>
      <c r="V94" s="23">
        <f t="shared" ref="V94:W109" si="17">H94+J94+L94+N94+P94+R94</f>
        <v>0</v>
      </c>
      <c r="W94" s="25">
        <f t="shared" si="17"/>
        <v>0</v>
      </c>
      <c r="X94" s="23">
        <f t="shared" ref="X94:Y109" si="18">H94+J94+L94</f>
        <v>0</v>
      </c>
      <c r="Y94" s="25">
        <f t="shared" si="18"/>
        <v>0</v>
      </c>
    </row>
    <row r="95" spans="1:25" x14ac:dyDescent="0.3">
      <c r="A95" s="1">
        <f t="shared" si="13"/>
        <v>92</v>
      </c>
      <c r="B95" s="17" t="s">
        <v>164</v>
      </c>
      <c r="C95" s="18" t="s">
        <v>165</v>
      </c>
      <c r="D95" s="23">
        <v>1975</v>
      </c>
      <c r="E95" s="20">
        <v>1975</v>
      </c>
      <c r="F95" s="21">
        <f t="shared" ref="F95:G110" si="19">H95+J95+L95+N95+P95+R95+T95</f>
        <v>3</v>
      </c>
      <c r="G95" s="22">
        <f t="shared" si="19"/>
        <v>2</v>
      </c>
      <c r="H95" s="23"/>
      <c r="I95" s="20"/>
      <c r="J95" s="24"/>
      <c r="K95" s="21"/>
      <c r="L95" s="23"/>
      <c r="M95" s="20"/>
      <c r="N95" s="21"/>
      <c r="O95" s="22"/>
      <c r="P95" s="23"/>
      <c r="Q95" s="20"/>
      <c r="R95" s="24">
        <v>3</v>
      </c>
      <c r="S95" s="21">
        <v>2</v>
      </c>
      <c r="T95" s="23"/>
      <c r="U95" s="25"/>
      <c r="V95" s="23">
        <f t="shared" si="17"/>
        <v>3</v>
      </c>
      <c r="W95" s="25">
        <f t="shared" si="17"/>
        <v>2</v>
      </c>
      <c r="X95" s="23">
        <f t="shared" si="18"/>
        <v>0</v>
      </c>
      <c r="Y95" s="25">
        <f t="shared" si="18"/>
        <v>0</v>
      </c>
    </row>
    <row r="96" spans="1:25" x14ac:dyDescent="0.3">
      <c r="A96" s="1">
        <f t="shared" si="13"/>
        <v>93</v>
      </c>
      <c r="B96" s="17" t="s">
        <v>166</v>
      </c>
      <c r="C96" s="18" t="s">
        <v>31</v>
      </c>
      <c r="D96" s="19">
        <v>2015</v>
      </c>
      <c r="E96" s="20">
        <v>2020</v>
      </c>
      <c r="F96" s="21">
        <f t="shared" si="19"/>
        <v>5</v>
      </c>
      <c r="G96" s="22">
        <f t="shared" si="19"/>
        <v>7</v>
      </c>
      <c r="H96" s="23"/>
      <c r="I96" s="20"/>
      <c r="J96" s="24"/>
      <c r="K96" s="21"/>
      <c r="L96" s="23"/>
      <c r="M96" s="20"/>
      <c r="N96" s="21">
        <v>2</v>
      </c>
      <c r="O96" s="22">
        <v>5</v>
      </c>
      <c r="P96" s="23"/>
      <c r="Q96" s="20"/>
      <c r="R96" s="24"/>
      <c r="S96" s="21"/>
      <c r="T96" s="23">
        <v>3</v>
      </c>
      <c r="U96" s="25">
        <v>2</v>
      </c>
      <c r="V96" s="23">
        <f t="shared" si="17"/>
        <v>2</v>
      </c>
      <c r="W96" s="25">
        <f t="shared" si="17"/>
        <v>5</v>
      </c>
      <c r="X96" s="23">
        <f t="shared" si="18"/>
        <v>0</v>
      </c>
      <c r="Y96" s="25">
        <f t="shared" si="18"/>
        <v>0</v>
      </c>
    </row>
    <row r="97" spans="1:25" x14ac:dyDescent="0.3">
      <c r="A97" s="1">
        <f t="shared" si="13"/>
        <v>94</v>
      </c>
      <c r="B97" s="26" t="s">
        <v>167</v>
      </c>
      <c r="C97" s="25" t="s">
        <v>99</v>
      </c>
      <c r="D97" s="23">
        <v>1950</v>
      </c>
      <c r="E97" s="20">
        <v>1950</v>
      </c>
      <c r="F97" s="33">
        <f t="shared" si="19"/>
        <v>5</v>
      </c>
      <c r="G97" s="34">
        <f t="shared" si="19"/>
        <v>2</v>
      </c>
      <c r="H97" s="23"/>
      <c r="I97" s="20"/>
      <c r="J97" s="33">
        <v>5</v>
      </c>
      <c r="K97" s="34">
        <v>2</v>
      </c>
      <c r="L97" s="23"/>
      <c r="M97" s="20"/>
      <c r="N97" s="21"/>
      <c r="O97" s="22"/>
      <c r="P97" s="23"/>
      <c r="Q97" s="20"/>
      <c r="R97" s="24"/>
      <c r="S97" s="21"/>
      <c r="T97" s="23"/>
      <c r="U97" s="25"/>
      <c r="V97" s="23">
        <f t="shared" si="17"/>
        <v>5</v>
      </c>
      <c r="W97" s="25">
        <f t="shared" si="17"/>
        <v>2</v>
      </c>
      <c r="X97" s="23">
        <f t="shared" si="18"/>
        <v>5</v>
      </c>
      <c r="Y97" s="25">
        <f t="shared" si="18"/>
        <v>2</v>
      </c>
    </row>
    <row r="98" spans="1:25" x14ac:dyDescent="0.3">
      <c r="A98" s="1">
        <f t="shared" si="13"/>
        <v>95</v>
      </c>
      <c r="B98" s="17" t="s">
        <v>168</v>
      </c>
      <c r="C98" s="18" t="s">
        <v>29</v>
      </c>
      <c r="D98" s="23">
        <v>1997</v>
      </c>
      <c r="E98" s="20">
        <v>1997</v>
      </c>
      <c r="F98" s="33">
        <f t="shared" si="19"/>
        <v>16</v>
      </c>
      <c r="G98" s="34">
        <f t="shared" si="19"/>
        <v>29</v>
      </c>
      <c r="H98" s="23"/>
      <c r="I98" s="20"/>
      <c r="J98" s="33"/>
      <c r="K98" s="34"/>
      <c r="L98" s="23">
        <v>9</v>
      </c>
      <c r="M98" s="20">
        <v>10</v>
      </c>
      <c r="N98" s="21"/>
      <c r="O98" s="22"/>
      <c r="P98" s="23"/>
      <c r="Q98" s="20"/>
      <c r="R98" s="24"/>
      <c r="S98" s="21"/>
      <c r="T98" s="23">
        <v>7</v>
      </c>
      <c r="U98" s="25">
        <v>19</v>
      </c>
      <c r="V98" s="23">
        <f t="shared" si="17"/>
        <v>9</v>
      </c>
      <c r="W98" s="25">
        <f t="shared" si="17"/>
        <v>10</v>
      </c>
      <c r="X98" s="23">
        <f t="shared" si="18"/>
        <v>9</v>
      </c>
      <c r="Y98" s="25">
        <f t="shared" si="18"/>
        <v>10</v>
      </c>
    </row>
    <row r="99" spans="1:25" x14ac:dyDescent="0.3">
      <c r="A99" s="1">
        <f t="shared" si="13"/>
        <v>96</v>
      </c>
      <c r="B99" s="26" t="s">
        <v>169</v>
      </c>
      <c r="C99" s="25" t="s">
        <v>170</v>
      </c>
      <c r="D99" s="23">
        <v>1956</v>
      </c>
      <c r="E99" s="20">
        <v>1959</v>
      </c>
      <c r="F99" s="33">
        <f t="shared" si="19"/>
        <v>32</v>
      </c>
      <c r="G99" s="34">
        <f t="shared" si="19"/>
        <v>224</v>
      </c>
      <c r="H99" s="23"/>
      <c r="I99" s="20"/>
      <c r="J99" s="33"/>
      <c r="K99" s="34"/>
      <c r="L99" s="23">
        <v>17</v>
      </c>
      <c r="M99" s="20">
        <v>108</v>
      </c>
      <c r="N99" s="21"/>
      <c r="O99" s="22"/>
      <c r="P99" s="23">
        <v>5</v>
      </c>
      <c r="Q99" s="20">
        <v>65</v>
      </c>
      <c r="R99" s="24">
        <v>3</v>
      </c>
      <c r="S99" s="21">
        <v>19</v>
      </c>
      <c r="T99" s="23">
        <v>7</v>
      </c>
      <c r="U99" s="25">
        <v>32</v>
      </c>
      <c r="V99" s="23">
        <f t="shared" si="17"/>
        <v>25</v>
      </c>
      <c r="W99" s="25">
        <f t="shared" si="17"/>
        <v>192</v>
      </c>
      <c r="X99" s="23">
        <f t="shared" si="18"/>
        <v>17</v>
      </c>
      <c r="Y99" s="25">
        <f t="shared" si="18"/>
        <v>108</v>
      </c>
    </row>
    <row r="100" spans="1:25" x14ac:dyDescent="0.3">
      <c r="A100" s="1">
        <f t="shared" si="13"/>
        <v>97</v>
      </c>
      <c r="B100" s="26" t="s">
        <v>169</v>
      </c>
      <c r="C100" s="25" t="s">
        <v>171</v>
      </c>
      <c r="D100" s="23">
        <v>1956</v>
      </c>
      <c r="E100" s="20">
        <v>1963</v>
      </c>
      <c r="F100" s="33">
        <f t="shared" si="19"/>
        <v>66</v>
      </c>
      <c r="G100" s="34">
        <f t="shared" si="19"/>
        <v>379</v>
      </c>
      <c r="H100" s="23">
        <v>8</v>
      </c>
      <c r="I100" s="20">
        <v>41</v>
      </c>
      <c r="J100" s="33"/>
      <c r="K100" s="34"/>
      <c r="L100" s="23">
        <v>16</v>
      </c>
      <c r="M100" s="20">
        <v>49</v>
      </c>
      <c r="N100" s="21">
        <v>5</v>
      </c>
      <c r="O100" s="22">
        <v>28</v>
      </c>
      <c r="P100" s="23">
        <v>10</v>
      </c>
      <c r="Q100" s="20">
        <v>126</v>
      </c>
      <c r="R100" s="24">
        <v>10</v>
      </c>
      <c r="S100" s="21">
        <v>67</v>
      </c>
      <c r="T100" s="23">
        <v>17</v>
      </c>
      <c r="U100" s="25">
        <v>68</v>
      </c>
      <c r="V100" s="23">
        <f t="shared" si="17"/>
        <v>49</v>
      </c>
      <c r="W100" s="25">
        <f t="shared" si="17"/>
        <v>311</v>
      </c>
      <c r="X100" s="23">
        <f t="shared" si="18"/>
        <v>24</v>
      </c>
      <c r="Y100" s="25">
        <f t="shared" si="18"/>
        <v>90</v>
      </c>
    </row>
    <row r="101" spans="1:25" x14ac:dyDescent="0.3">
      <c r="A101" s="1">
        <f t="shared" si="13"/>
        <v>98</v>
      </c>
      <c r="B101" s="17" t="s">
        <v>172</v>
      </c>
      <c r="C101" s="18" t="s">
        <v>29</v>
      </c>
      <c r="D101" s="19">
        <v>2009</v>
      </c>
      <c r="E101" s="20">
        <v>2021</v>
      </c>
      <c r="F101" s="33">
        <f t="shared" si="19"/>
        <v>110</v>
      </c>
      <c r="G101" s="34">
        <f t="shared" si="19"/>
        <v>1071</v>
      </c>
      <c r="H101" s="23">
        <v>8</v>
      </c>
      <c r="I101" s="20">
        <v>118</v>
      </c>
      <c r="J101" s="33">
        <v>17</v>
      </c>
      <c r="K101" s="34">
        <v>160</v>
      </c>
      <c r="L101" s="23">
        <v>18</v>
      </c>
      <c r="M101" s="20">
        <v>145</v>
      </c>
      <c r="N101" s="21">
        <v>18</v>
      </c>
      <c r="O101" s="22">
        <v>204</v>
      </c>
      <c r="P101" s="23"/>
      <c r="Q101" s="20"/>
      <c r="R101" s="24"/>
      <c r="S101" s="21"/>
      <c r="T101" s="23">
        <v>49</v>
      </c>
      <c r="U101" s="25">
        <v>444</v>
      </c>
      <c r="V101" s="23">
        <f t="shared" si="17"/>
        <v>61</v>
      </c>
      <c r="W101" s="25">
        <f t="shared" si="17"/>
        <v>627</v>
      </c>
      <c r="X101" s="23">
        <f t="shared" si="18"/>
        <v>43</v>
      </c>
      <c r="Y101" s="25">
        <f t="shared" si="18"/>
        <v>423</v>
      </c>
    </row>
    <row r="102" spans="1:25" x14ac:dyDescent="0.3">
      <c r="A102" s="1">
        <f t="shared" si="13"/>
        <v>99</v>
      </c>
      <c r="B102" s="17" t="s">
        <v>173</v>
      </c>
      <c r="C102" s="18" t="s">
        <v>174</v>
      </c>
      <c r="D102" s="23">
        <v>1984</v>
      </c>
      <c r="E102" s="20">
        <v>1984</v>
      </c>
      <c r="F102" s="33">
        <f t="shared" si="19"/>
        <v>3</v>
      </c>
      <c r="G102" s="34">
        <f t="shared" si="19"/>
        <v>35</v>
      </c>
      <c r="H102" s="23"/>
      <c r="I102" s="20"/>
      <c r="J102" s="33"/>
      <c r="K102" s="34"/>
      <c r="L102" s="23"/>
      <c r="M102" s="20"/>
      <c r="N102" s="21"/>
      <c r="O102" s="22"/>
      <c r="P102" s="23"/>
      <c r="Q102" s="20"/>
      <c r="R102" s="24">
        <v>3</v>
      </c>
      <c r="S102" s="21">
        <v>35</v>
      </c>
      <c r="T102" s="23"/>
      <c r="U102" s="25"/>
      <c r="V102" s="23">
        <f t="shared" si="17"/>
        <v>3</v>
      </c>
      <c r="W102" s="25">
        <f t="shared" si="17"/>
        <v>35</v>
      </c>
      <c r="X102" s="23">
        <f t="shared" si="18"/>
        <v>0</v>
      </c>
      <c r="Y102" s="25">
        <f t="shared" si="18"/>
        <v>0</v>
      </c>
    </row>
    <row r="103" spans="1:25" x14ac:dyDescent="0.3">
      <c r="A103" s="1">
        <f t="shared" si="13"/>
        <v>100</v>
      </c>
      <c r="B103" s="17" t="s">
        <v>175</v>
      </c>
      <c r="C103" s="18" t="s">
        <v>50</v>
      </c>
      <c r="D103" s="19">
        <v>2007</v>
      </c>
      <c r="E103" s="20">
        <v>2012</v>
      </c>
      <c r="F103" s="33">
        <f t="shared" si="19"/>
        <v>62</v>
      </c>
      <c r="G103" s="34">
        <f t="shared" si="19"/>
        <v>368</v>
      </c>
      <c r="H103" s="23"/>
      <c r="I103" s="20"/>
      <c r="J103" s="33">
        <v>9</v>
      </c>
      <c r="K103" s="34">
        <v>86</v>
      </c>
      <c r="L103" s="23">
        <v>11</v>
      </c>
      <c r="M103" s="20">
        <v>33</v>
      </c>
      <c r="N103" s="21">
        <v>10</v>
      </c>
      <c r="O103" s="22">
        <v>44</v>
      </c>
      <c r="P103" s="23"/>
      <c r="Q103" s="20"/>
      <c r="R103" s="24"/>
      <c r="S103" s="21"/>
      <c r="T103" s="23">
        <v>32</v>
      </c>
      <c r="U103" s="25">
        <v>205</v>
      </c>
      <c r="V103" s="23">
        <f t="shared" si="17"/>
        <v>30</v>
      </c>
      <c r="W103" s="25">
        <f t="shared" si="17"/>
        <v>163</v>
      </c>
      <c r="X103" s="23">
        <f t="shared" si="18"/>
        <v>20</v>
      </c>
      <c r="Y103" s="25">
        <f t="shared" si="18"/>
        <v>119</v>
      </c>
    </row>
    <row r="104" spans="1:25" x14ac:dyDescent="0.3">
      <c r="A104" s="1">
        <f t="shared" si="13"/>
        <v>101</v>
      </c>
      <c r="B104" s="17" t="s">
        <v>176</v>
      </c>
      <c r="C104" s="18" t="s">
        <v>144</v>
      </c>
      <c r="D104" s="19">
        <v>1991</v>
      </c>
      <c r="E104" s="20">
        <v>2005</v>
      </c>
      <c r="F104" s="33">
        <f t="shared" si="19"/>
        <v>94</v>
      </c>
      <c r="G104" s="34">
        <f t="shared" si="19"/>
        <v>864</v>
      </c>
      <c r="H104" s="23">
        <v>15</v>
      </c>
      <c r="I104" s="20">
        <v>139</v>
      </c>
      <c r="J104" s="33">
        <v>9</v>
      </c>
      <c r="K104" s="34">
        <v>122</v>
      </c>
      <c r="L104" s="23">
        <v>22</v>
      </c>
      <c r="M104" s="20">
        <v>166</v>
      </c>
      <c r="N104" s="33">
        <v>4</v>
      </c>
      <c r="O104" s="34">
        <v>19</v>
      </c>
      <c r="P104" s="23">
        <v>5</v>
      </c>
      <c r="Q104" s="20">
        <v>26</v>
      </c>
      <c r="R104" s="21"/>
      <c r="S104" s="35"/>
      <c r="T104" s="23">
        <v>39</v>
      </c>
      <c r="U104" s="25">
        <v>392</v>
      </c>
      <c r="V104" s="23">
        <f t="shared" si="17"/>
        <v>55</v>
      </c>
      <c r="W104" s="25">
        <f t="shared" si="17"/>
        <v>472</v>
      </c>
      <c r="X104" s="23">
        <f t="shared" si="18"/>
        <v>46</v>
      </c>
      <c r="Y104" s="25">
        <f t="shared" si="18"/>
        <v>427</v>
      </c>
    </row>
    <row r="105" spans="1:25" x14ac:dyDescent="0.3">
      <c r="A105" s="1">
        <f t="shared" si="13"/>
        <v>102</v>
      </c>
      <c r="B105" s="26" t="s">
        <v>177</v>
      </c>
      <c r="C105" s="25" t="s">
        <v>178</v>
      </c>
      <c r="D105" s="23">
        <v>1950</v>
      </c>
      <c r="E105" s="20">
        <v>1950</v>
      </c>
      <c r="F105" s="33">
        <f t="shared" si="19"/>
        <v>3</v>
      </c>
      <c r="G105" s="34">
        <f t="shared" si="19"/>
        <v>2</v>
      </c>
      <c r="H105" s="23"/>
      <c r="I105" s="20"/>
      <c r="J105" s="33"/>
      <c r="K105" s="34"/>
      <c r="L105" s="23"/>
      <c r="M105" s="20"/>
      <c r="N105" s="33">
        <v>3</v>
      </c>
      <c r="O105" s="34">
        <v>2</v>
      </c>
      <c r="P105" s="23"/>
      <c r="Q105" s="20"/>
      <c r="R105" s="21"/>
      <c r="S105" s="35"/>
      <c r="T105" s="23"/>
      <c r="U105" s="25"/>
      <c r="V105" s="23">
        <f t="shared" si="17"/>
        <v>3</v>
      </c>
      <c r="W105" s="25">
        <f t="shared" si="17"/>
        <v>2</v>
      </c>
      <c r="X105" s="23">
        <f t="shared" si="18"/>
        <v>0</v>
      </c>
      <c r="Y105" s="25">
        <f t="shared" si="18"/>
        <v>0</v>
      </c>
    </row>
    <row r="106" spans="1:25" x14ac:dyDescent="0.3">
      <c r="A106" s="1">
        <f t="shared" si="13"/>
        <v>103</v>
      </c>
      <c r="B106" s="17" t="s">
        <v>179</v>
      </c>
      <c r="C106" s="18" t="s">
        <v>142</v>
      </c>
      <c r="D106" s="23">
        <v>1980</v>
      </c>
      <c r="E106" s="20">
        <v>1983</v>
      </c>
      <c r="F106" s="33">
        <f t="shared" si="19"/>
        <v>36</v>
      </c>
      <c r="G106" s="34">
        <f t="shared" si="19"/>
        <v>124</v>
      </c>
      <c r="H106" s="23"/>
      <c r="I106" s="20"/>
      <c r="J106" s="33"/>
      <c r="K106" s="34"/>
      <c r="L106" s="23">
        <v>7</v>
      </c>
      <c r="M106" s="20">
        <v>7</v>
      </c>
      <c r="N106" s="33">
        <v>2</v>
      </c>
      <c r="O106" s="34">
        <v>13</v>
      </c>
      <c r="P106" s="23"/>
      <c r="Q106" s="20"/>
      <c r="R106" s="26">
        <v>8</v>
      </c>
      <c r="S106" s="35">
        <v>16</v>
      </c>
      <c r="T106" s="33">
        <v>19</v>
      </c>
      <c r="U106" s="36">
        <v>88</v>
      </c>
      <c r="V106" s="23">
        <f t="shared" si="17"/>
        <v>17</v>
      </c>
      <c r="W106" s="25">
        <f t="shared" si="17"/>
        <v>36</v>
      </c>
      <c r="X106" s="23">
        <f t="shared" si="18"/>
        <v>7</v>
      </c>
      <c r="Y106" s="25">
        <f t="shared" si="18"/>
        <v>7</v>
      </c>
    </row>
    <row r="107" spans="1:25" x14ac:dyDescent="0.3">
      <c r="A107" s="1">
        <f t="shared" si="13"/>
        <v>104</v>
      </c>
      <c r="B107" s="17" t="s">
        <v>180</v>
      </c>
      <c r="C107" s="18" t="s">
        <v>181</v>
      </c>
      <c r="D107" s="19">
        <v>1997</v>
      </c>
      <c r="E107" s="20">
        <v>2005</v>
      </c>
      <c r="F107" s="33">
        <f t="shared" si="19"/>
        <v>111</v>
      </c>
      <c r="G107" s="34">
        <f t="shared" si="19"/>
        <v>614</v>
      </c>
      <c r="H107" s="23">
        <v>13</v>
      </c>
      <c r="I107" s="20">
        <v>52</v>
      </c>
      <c r="J107" s="33">
        <v>9</v>
      </c>
      <c r="K107" s="34">
        <v>41</v>
      </c>
      <c r="L107" s="23">
        <v>19</v>
      </c>
      <c r="M107" s="20">
        <v>92</v>
      </c>
      <c r="N107" s="33"/>
      <c r="O107" s="34"/>
      <c r="P107" s="23">
        <v>6</v>
      </c>
      <c r="Q107" s="20">
        <v>120</v>
      </c>
      <c r="R107" s="26"/>
      <c r="S107" s="35"/>
      <c r="T107" s="33">
        <v>64</v>
      </c>
      <c r="U107" s="36">
        <v>309</v>
      </c>
      <c r="V107" s="23">
        <f t="shared" si="17"/>
        <v>47</v>
      </c>
      <c r="W107" s="25">
        <f t="shared" si="17"/>
        <v>305</v>
      </c>
      <c r="X107" s="23">
        <f t="shared" si="18"/>
        <v>41</v>
      </c>
      <c r="Y107" s="25">
        <f t="shared" si="18"/>
        <v>185</v>
      </c>
    </row>
    <row r="108" spans="1:25" x14ac:dyDescent="0.3">
      <c r="A108" s="1">
        <f t="shared" si="13"/>
        <v>105</v>
      </c>
      <c r="B108" s="26" t="s">
        <v>182</v>
      </c>
      <c r="C108" s="25" t="s">
        <v>19</v>
      </c>
      <c r="D108" s="23">
        <v>1955</v>
      </c>
      <c r="E108" s="20">
        <v>1955</v>
      </c>
      <c r="F108" s="33">
        <f t="shared" si="19"/>
        <v>1</v>
      </c>
      <c r="G108" s="34">
        <f t="shared" si="19"/>
        <v>0</v>
      </c>
      <c r="H108" s="23"/>
      <c r="I108" s="20"/>
      <c r="J108" s="33"/>
      <c r="K108" s="34"/>
      <c r="L108" s="23"/>
      <c r="M108" s="20"/>
      <c r="N108" s="33"/>
      <c r="O108" s="34"/>
      <c r="P108" s="23"/>
      <c r="Q108" s="20"/>
      <c r="R108" s="26"/>
      <c r="S108" s="35"/>
      <c r="T108" s="33">
        <v>1</v>
      </c>
      <c r="U108" s="36">
        <v>0</v>
      </c>
      <c r="V108" s="23">
        <f t="shared" si="17"/>
        <v>0</v>
      </c>
      <c r="W108" s="25">
        <f t="shared" si="17"/>
        <v>0</v>
      </c>
      <c r="X108" s="23">
        <f t="shared" si="18"/>
        <v>0</v>
      </c>
      <c r="Y108" s="25">
        <f t="shared" si="18"/>
        <v>0</v>
      </c>
    </row>
    <row r="109" spans="1:25" x14ac:dyDescent="0.3">
      <c r="A109" s="1">
        <f t="shared" si="13"/>
        <v>106</v>
      </c>
      <c r="B109" s="17" t="s">
        <v>183</v>
      </c>
      <c r="C109" s="18" t="s">
        <v>184</v>
      </c>
      <c r="D109" s="23">
        <v>1991</v>
      </c>
      <c r="E109" s="20">
        <v>1991</v>
      </c>
      <c r="F109" s="33">
        <f t="shared" si="19"/>
        <v>5</v>
      </c>
      <c r="G109" s="34">
        <f t="shared" si="19"/>
        <v>16</v>
      </c>
      <c r="H109" s="23"/>
      <c r="I109" s="20"/>
      <c r="J109" s="33"/>
      <c r="K109" s="34"/>
      <c r="L109" s="23"/>
      <c r="M109" s="20"/>
      <c r="N109" s="33"/>
      <c r="O109" s="34"/>
      <c r="P109" s="23">
        <v>5</v>
      </c>
      <c r="Q109" s="20">
        <v>16</v>
      </c>
      <c r="R109" s="26"/>
      <c r="S109" s="35"/>
      <c r="T109" s="33"/>
      <c r="U109" s="36"/>
      <c r="V109" s="23">
        <f t="shared" si="17"/>
        <v>5</v>
      </c>
      <c r="W109" s="25">
        <f t="shared" si="17"/>
        <v>16</v>
      </c>
      <c r="X109" s="23">
        <f t="shared" si="18"/>
        <v>0</v>
      </c>
      <c r="Y109" s="25">
        <f t="shared" si="18"/>
        <v>0</v>
      </c>
    </row>
    <row r="110" spans="1:25" x14ac:dyDescent="0.3">
      <c r="A110" s="1">
        <f t="shared" si="13"/>
        <v>107</v>
      </c>
      <c r="B110" s="17" t="s">
        <v>185</v>
      </c>
      <c r="C110" s="18" t="s">
        <v>186</v>
      </c>
      <c r="D110" s="23">
        <v>1970</v>
      </c>
      <c r="E110" s="20">
        <v>1983</v>
      </c>
      <c r="F110" s="33">
        <f t="shared" si="19"/>
        <v>179</v>
      </c>
      <c r="G110" s="34">
        <f t="shared" si="19"/>
        <v>1465</v>
      </c>
      <c r="H110" s="23">
        <v>15</v>
      </c>
      <c r="I110" s="20">
        <v>95</v>
      </c>
      <c r="J110" s="33">
        <v>17</v>
      </c>
      <c r="K110" s="34">
        <v>131</v>
      </c>
      <c r="L110" s="23">
        <v>36</v>
      </c>
      <c r="M110" s="20">
        <v>254</v>
      </c>
      <c r="N110" s="33">
        <v>13</v>
      </c>
      <c r="O110" s="34">
        <v>124</v>
      </c>
      <c r="P110" s="23"/>
      <c r="Q110" s="20"/>
      <c r="R110" s="26">
        <v>14</v>
      </c>
      <c r="S110" s="35">
        <v>74</v>
      </c>
      <c r="T110" s="33">
        <v>84</v>
      </c>
      <c r="U110" s="36">
        <v>787</v>
      </c>
      <c r="V110" s="23">
        <f t="shared" ref="V110:W128" si="20">H110+J110+L110+N110+P110+R110</f>
        <v>95</v>
      </c>
      <c r="W110" s="25">
        <f t="shared" si="20"/>
        <v>678</v>
      </c>
      <c r="X110" s="23">
        <f t="shared" ref="X110:Y128" si="21">H110+J110+L110</f>
        <v>68</v>
      </c>
      <c r="Y110" s="25">
        <f t="shared" si="21"/>
        <v>480</v>
      </c>
    </row>
    <row r="111" spans="1:25" x14ac:dyDescent="0.3">
      <c r="A111" s="1">
        <f t="shared" si="13"/>
        <v>108</v>
      </c>
      <c r="B111" s="26" t="s">
        <v>187</v>
      </c>
      <c r="C111" s="25" t="s">
        <v>188</v>
      </c>
      <c r="D111" s="23">
        <v>2021</v>
      </c>
      <c r="E111" s="20">
        <v>2021</v>
      </c>
      <c r="F111" s="33">
        <f t="shared" ref="F111:G129" si="22">H111+J111+L111+N111+P111+R111+T111</f>
        <v>1</v>
      </c>
      <c r="G111" s="34">
        <f t="shared" si="22"/>
        <v>15</v>
      </c>
      <c r="H111" s="23"/>
      <c r="I111" s="20"/>
      <c r="J111" s="33"/>
      <c r="K111" s="34"/>
      <c r="L111" s="23"/>
      <c r="M111" s="20"/>
      <c r="N111" s="33">
        <v>1</v>
      </c>
      <c r="O111" s="34">
        <v>15</v>
      </c>
      <c r="P111" s="23"/>
      <c r="Q111" s="20"/>
      <c r="R111" s="26"/>
      <c r="S111" s="35"/>
      <c r="T111" s="33"/>
      <c r="U111" s="36"/>
      <c r="V111" s="23">
        <f t="shared" si="20"/>
        <v>1</v>
      </c>
      <c r="W111" s="25">
        <f t="shared" si="20"/>
        <v>15</v>
      </c>
      <c r="X111" s="23">
        <f t="shared" si="21"/>
        <v>0</v>
      </c>
      <c r="Y111" s="25">
        <f t="shared" si="21"/>
        <v>0</v>
      </c>
    </row>
    <row r="112" spans="1:25" x14ac:dyDescent="0.3">
      <c r="A112" s="1">
        <f t="shared" si="13"/>
        <v>109</v>
      </c>
      <c r="B112" s="17" t="s">
        <v>189</v>
      </c>
      <c r="C112" s="18" t="s">
        <v>50</v>
      </c>
      <c r="D112" s="19">
        <v>2002</v>
      </c>
      <c r="E112" s="20">
        <v>2002</v>
      </c>
      <c r="F112" s="33">
        <f t="shared" si="22"/>
        <v>11</v>
      </c>
      <c r="G112" s="34">
        <f t="shared" si="22"/>
        <v>24</v>
      </c>
      <c r="H112" s="23"/>
      <c r="I112" s="20"/>
      <c r="J112" s="33"/>
      <c r="K112" s="34"/>
      <c r="L112" s="23"/>
      <c r="M112" s="20"/>
      <c r="N112" s="33"/>
      <c r="O112" s="34"/>
      <c r="P112" s="23"/>
      <c r="Q112" s="20"/>
      <c r="R112" s="26"/>
      <c r="S112" s="35"/>
      <c r="T112" s="33">
        <v>11</v>
      </c>
      <c r="U112" s="36">
        <v>24</v>
      </c>
      <c r="V112" s="23">
        <f t="shared" si="20"/>
        <v>0</v>
      </c>
      <c r="W112" s="25">
        <f t="shared" si="20"/>
        <v>0</v>
      </c>
      <c r="X112" s="23">
        <f t="shared" si="21"/>
        <v>0</v>
      </c>
      <c r="Y112" s="25">
        <f t="shared" si="21"/>
        <v>0</v>
      </c>
    </row>
    <row r="113" spans="1:25" x14ac:dyDescent="0.3">
      <c r="A113" s="1">
        <f t="shared" si="13"/>
        <v>110</v>
      </c>
      <c r="B113" s="17" t="s">
        <v>190</v>
      </c>
      <c r="C113" s="18" t="s">
        <v>186</v>
      </c>
      <c r="D113" s="23">
        <v>1990</v>
      </c>
      <c r="E113" s="20">
        <v>1995</v>
      </c>
      <c r="F113" s="33">
        <f t="shared" si="22"/>
        <v>41</v>
      </c>
      <c r="G113" s="34">
        <f t="shared" si="22"/>
        <v>230</v>
      </c>
      <c r="H113" s="23"/>
      <c r="I113" s="20"/>
      <c r="J113" s="33"/>
      <c r="K113" s="34"/>
      <c r="L113" s="23">
        <v>14</v>
      </c>
      <c r="M113" s="20">
        <v>126</v>
      </c>
      <c r="N113" s="33">
        <v>4</v>
      </c>
      <c r="O113" s="34">
        <v>5</v>
      </c>
      <c r="P113" s="23"/>
      <c r="Q113" s="20"/>
      <c r="R113" s="26">
        <v>5</v>
      </c>
      <c r="S113" s="35">
        <v>38</v>
      </c>
      <c r="T113" s="33">
        <v>18</v>
      </c>
      <c r="U113" s="36">
        <v>61</v>
      </c>
      <c r="V113" s="23">
        <f t="shared" si="20"/>
        <v>23</v>
      </c>
      <c r="W113" s="25">
        <f t="shared" si="20"/>
        <v>169</v>
      </c>
      <c r="X113" s="23">
        <f t="shared" si="21"/>
        <v>14</v>
      </c>
      <c r="Y113" s="25">
        <f t="shared" si="21"/>
        <v>126</v>
      </c>
    </row>
    <row r="114" spans="1:25" x14ac:dyDescent="0.3">
      <c r="A114" s="1">
        <f t="shared" si="13"/>
        <v>111</v>
      </c>
      <c r="B114" s="26" t="s">
        <v>191</v>
      </c>
      <c r="C114" s="25" t="s">
        <v>52</v>
      </c>
      <c r="D114" s="23">
        <v>1950</v>
      </c>
      <c r="E114" s="20">
        <v>1953</v>
      </c>
      <c r="F114" s="33">
        <f t="shared" si="22"/>
        <v>34</v>
      </c>
      <c r="G114" s="34">
        <f t="shared" si="22"/>
        <v>63</v>
      </c>
      <c r="H114" s="23"/>
      <c r="I114" s="20"/>
      <c r="J114" s="33">
        <v>5</v>
      </c>
      <c r="K114" s="34">
        <v>12</v>
      </c>
      <c r="L114" s="23">
        <v>11</v>
      </c>
      <c r="M114" s="20">
        <v>8</v>
      </c>
      <c r="N114" s="33">
        <v>5</v>
      </c>
      <c r="O114" s="34">
        <v>23</v>
      </c>
      <c r="P114" s="23"/>
      <c r="Q114" s="20"/>
      <c r="R114" s="26"/>
      <c r="S114" s="35"/>
      <c r="T114" s="33">
        <v>13</v>
      </c>
      <c r="U114" s="36">
        <v>20</v>
      </c>
      <c r="V114" s="23">
        <f t="shared" si="20"/>
        <v>21</v>
      </c>
      <c r="W114" s="25">
        <f t="shared" si="20"/>
        <v>43</v>
      </c>
      <c r="X114" s="23">
        <f t="shared" si="21"/>
        <v>16</v>
      </c>
      <c r="Y114" s="25">
        <f t="shared" si="21"/>
        <v>20</v>
      </c>
    </row>
    <row r="115" spans="1:25" x14ac:dyDescent="0.3">
      <c r="A115" s="1">
        <f t="shared" si="13"/>
        <v>112</v>
      </c>
      <c r="B115" s="17" t="s">
        <v>192</v>
      </c>
      <c r="C115" s="18" t="s">
        <v>193</v>
      </c>
      <c r="D115" s="19">
        <v>1997</v>
      </c>
      <c r="E115" s="20">
        <v>2001</v>
      </c>
      <c r="F115" s="33">
        <f t="shared" si="22"/>
        <v>18</v>
      </c>
      <c r="G115" s="34">
        <f t="shared" si="22"/>
        <v>126</v>
      </c>
      <c r="H115" s="23"/>
      <c r="I115" s="20"/>
      <c r="J115" s="33"/>
      <c r="K115" s="34"/>
      <c r="L115" s="23"/>
      <c r="M115" s="20"/>
      <c r="N115" s="33"/>
      <c r="O115" s="34"/>
      <c r="P115" s="23">
        <v>6</v>
      </c>
      <c r="Q115" s="20">
        <v>68</v>
      </c>
      <c r="R115" s="26"/>
      <c r="S115" s="35"/>
      <c r="T115" s="33">
        <v>12</v>
      </c>
      <c r="U115" s="36">
        <v>58</v>
      </c>
      <c r="V115" s="23">
        <f t="shared" si="20"/>
        <v>6</v>
      </c>
      <c r="W115" s="25">
        <f t="shared" si="20"/>
        <v>68</v>
      </c>
      <c r="X115" s="23">
        <f t="shared" si="21"/>
        <v>0</v>
      </c>
      <c r="Y115" s="25">
        <f t="shared" si="21"/>
        <v>0</v>
      </c>
    </row>
    <row r="116" spans="1:25" x14ac:dyDescent="0.3">
      <c r="A116" s="1">
        <f t="shared" si="13"/>
        <v>113</v>
      </c>
      <c r="B116" s="17" t="s">
        <v>194</v>
      </c>
      <c r="C116" s="18" t="s">
        <v>186</v>
      </c>
      <c r="D116" s="23">
        <v>1992</v>
      </c>
      <c r="E116" s="20">
        <v>1995</v>
      </c>
      <c r="F116" s="33">
        <f t="shared" si="22"/>
        <v>11</v>
      </c>
      <c r="G116" s="34">
        <f t="shared" si="22"/>
        <v>17</v>
      </c>
      <c r="H116" s="23"/>
      <c r="I116" s="20"/>
      <c r="J116" s="33"/>
      <c r="K116" s="34"/>
      <c r="L116" s="23"/>
      <c r="M116" s="20"/>
      <c r="N116" s="33">
        <v>4</v>
      </c>
      <c r="O116" s="34">
        <v>7</v>
      </c>
      <c r="P116" s="23"/>
      <c r="Q116" s="20"/>
      <c r="R116" s="26"/>
      <c r="S116" s="35"/>
      <c r="T116" s="33">
        <v>7</v>
      </c>
      <c r="U116" s="36">
        <v>10</v>
      </c>
      <c r="V116" s="23">
        <f t="shared" si="20"/>
        <v>4</v>
      </c>
      <c r="W116" s="25">
        <f t="shared" si="20"/>
        <v>7</v>
      </c>
      <c r="X116" s="23">
        <f t="shared" si="21"/>
        <v>0</v>
      </c>
      <c r="Y116" s="25">
        <f t="shared" si="21"/>
        <v>0</v>
      </c>
    </row>
    <row r="117" spans="1:25" x14ac:dyDescent="0.3">
      <c r="A117" s="1">
        <f t="shared" si="13"/>
        <v>114</v>
      </c>
      <c r="B117" s="26" t="s">
        <v>195</v>
      </c>
      <c r="C117" s="25" t="s">
        <v>196</v>
      </c>
      <c r="D117" s="23">
        <v>1949</v>
      </c>
      <c r="E117" s="20">
        <v>1949</v>
      </c>
      <c r="F117" s="33">
        <f t="shared" si="22"/>
        <v>5</v>
      </c>
      <c r="G117" s="34">
        <f t="shared" si="22"/>
        <v>2</v>
      </c>
      <c r="H117" s="23"/>
      <c r="I117" s="20"/>
      <c r="J117" s="33"/>
      <c r="K117" s="34"/>
      <c r="L117" s="23"/>
      <c r="M117" s="20"/>
      <c r="N117" s="33"/>
      <c r="O117" s="34"/>
      <c r="P117" s="23"/>
      <c r="Q117" s="20"/>
      <c r="R117" s="26"/>
      <c r="S117" s="35"/>
      <c r="T117" s="33">
        <v>5</v>
      </c>
      <c r="U117" s="36">
        <v>2</v>
      </c>
      <c r="V117" s="23">
        <f t="shared" si="20"/>
        <v>0</v>
      </c>
      <c r="W117" s="25">
        <f t="shared" si="20"/>
        <v>0</v>
      </c>
      <c r="X117" s="23">
        <f t="shared" si="21"/>
        <v>0</v>
      </c>
      <c r="Y117" s="25">
        <f t="shared" si="21"/>
        <v>0</v>
      </c>
    </row>
    <row r="118" spans="1:25" x14ac:dyDescent="0.3">
      <c r="A118" s="1">
        <f t="shared" si="13"/>
        <v>115</v>
      </c>
      <c r="B118" s="17" t="s">
        <v>197</v>
      </c>
      <c r="C118" s="18" t="s">
        <v>142</v>
      </c>
      <c r="D118" s="19">
        <v>2006</v>
      </c>
      <c r="E118" s="20">
        <v>2019</v>
      </c>
      <c r="F118" s="24">
        <f t="shared" si="22"/>
        <v>107</v>
      </c>
      <c r="G118" s="22">
        <f t="shared" si="22"/>
        <v>667</v>
      </c>
      <c r="H118" s="23"/>
      <c r="I118" s="20"/>
      <c r="J118" s="24">
        <v>9</v>
      </c>
      <c r="K118" s="22">
        <v>44</v>
      </c>
      <c r="L118" s="23">
        <v>20</v>
      </c>
      <c r="M118" s="20">
        <v>138</v>
      </c>
      <c r="N118" s="24">
        <v>24</v>
      </c>
      <c r="O118" s="22">
        <v>142</v>
      </c>
      <c r="P118" s="23"/>
      <c r="Q118" s="20"/>
      <c r="R118" s="24"/>
      <c r="S118" s="20"/>
      <c r="T118" s="23">
        <v>54</v>
      </c>
      <c r="U118" s="20">
        <v>343</v>
      </c>
      <c r="V118" s="23">
        <f t="shared" si="20"/>
        <v>53</v>
      </c>
      <c r="W118" s="25">
        <f t="shared" si="20"/>
        <v>324</v>
      </c>
      <c r="X118" s="23">
        <f t="shared" si="21"/>
        <v>29</v>
      </c>
      <c r="Y118" s="25">
        <f t="shared" si="21"/>
        <v>182</v>
      </c>
    </row>
    <row r="119" spans="1:25" x14ac:dyDescent="0.3">
      <c r="A119" s="1">
        <f t="shared" si="13"/>
        <v>116</v>
      </c>
      <c r="B119" s="17" t="s">
        <v>198</v>
      </c>
      <c r="C119" s="18" t="s">
        <v>70</v>
      </c>
      <c r="D119" s="23">
        <v>1974</v>
      </c>
      <c r="E119" s="20">
        <v>1977</v>
      </c>
      <c r="F119" s="24">
        <f t="shared" si="22"/>
        <v>22</v>
      </c>
      <c r="G119" s="22">
        <f t="shared" si="22"/>
        <v>116</v>
      </c>
      <c r="H119" s="23"/>
      <c r="I119" s="20"/>
      <c r="J119" s="24"/>
      <c r="K119" s="22"/>
      <c r="L119" s="23"/>
      <c r="M119" s="20"/>
      <c r="N119" s="24"/>
      <c r="O119" s="22"/>
      <c r="P119" s="23">
        <v>4</v>
      </c>
      <c r="Q119" s="20">
        <v>21</v>
      </c>
      <c r="R119" s="24">
        <v>3</v>
      </c>
      <c r="S119" s="20">
        <v>34</v>
      </c>
      <c r="T119" s="23">
        <v>15</v>
      </c>
      <c r="U119" s="20">
        <v>61</v>
      </c>
      <c r="V119" s="23">
        <f t="shared" si="20"/>
        <v>7</v>
      </c>
      <c r="W119" s="25">
        <f t="shared" si="20"/>
        <v>55</v>
      </c>
      <c r="X119" s="23">
        <f t="shared" si="21"/>
        <v>0</v>
      </c>
      <c r="Y119" s="25">
        <f t="shared" si="21"/>
        <v>0</v>
      </c>
    </row>
    <row r="120" spans="1:25" x14ac:dyDescent="0.3">
      <c r="A120" s="1">
        <f t="shared" si="13"/>
        <v>117</v>
      </c>
      <c r="B120" s="17" t="s">
        <v>199</v>
      </c>
      <c r="C120" s="18" t="s">
        <v>106</v>
      </c>
      <c r="D120" s="19">
        <v>1993</v>
      </c>
      <c r="E120" s="20">
        <v>2005</v>
      </c>
      <c r="F120" s="24">
        <f t="shared" si="22"/>
        <v>155</v>
      </c>
      <c r="G120" s="22">
        <f t="shared" si="22"/>
        <v>1131</v>
      </c>
      <c r="H120" s="23">
        <v>21</v>
      </c>
      <c r="I120" s="20">
        <v>145</v>
      </c>
      <c r="J120" s="24">
        <v>18</v>
      </c>
      <c r="K120" s="22">
        <v>112</v>
      </c>
      <c r="L120" s="23">
        <v>37</v>
      </c>
      <c r="M120" s="20">
        <v>149</v>
      </c>
      <c r="N120" s="24">
        <v>4</v>
      </c>
      <c r="O120" s="22">
        <v>21</v>
      </c>
      <c r="P120" s="23"/>
      <c r="Q120" s="20"/>
      <c r="R120" s="24"/>
      <c r="S120" s="20"/>
      <c r="T120" s="23">
        <v>75</v>
      </c>
      <c r="U120" s="20">
        <v>704</v>
      </c>
      <c r="V120" s="23">
        <f t="shared" si="20"/>
        <v>80</v>
      </c>
      <c r="W120" s="25">
        <f t="shared" si="20"/>
        <v>427</v>
      </c>
      <c r="X120" s="23">
        <f t="shared" si="21"/>
        <v>76</v>
      </c>
      <c r="Y120" s="25">
        <f t="shared" si="21"/>
        <v>406</v>
      </c>
    </row>
    <row r="121" spans="1:25" x14ac:dyDescent="0.3">
      <c r="A121" s="1">
        <f t="shared" si="13"/>
        <v>118</v>
      </c>
      <c r="B121" s="26" t="s">
        <v>200</v>
      </c>
      <c r="C121" s="25" t="s">
        <v>201</v>
      </c>
      <c r="D121" s="23">
        <v>2020</v>
      </c>
      <c r="E121" s="20">
        <v>2025</v>
      </c>
      <c r="F121" s="24">
        <f t="shared" si="22"/>
        <v>11</v>
      </c>
      <c r="G121" s="22">
        <f t="shared" si="22"/>
        <v>49</v>
      </c>
      <c r="H121" s="23"/>
      <c r="I121" s="20"/>
      <c r="J121" s="24"/>
      <c r="K121" s="22"/>
      <c r="L121" s="23"/>
      <c r="M121" s="20"/>
      <c r="N121" s="24">
        <v>10</v>
      </c>
      <c r="O121" s="20">
        <v>47</v>
      </c>
      <c r="P121" s="23"/>
      <c r="Q121" s="20"/>
      <c r="R121" s="23"/>
      <c r="S121" s="20"/>
      <c r="T121" s="23">
        <v>1</v>
      </c>
      <c r="U121" s="20">
        <v>2</v>
      </c>
      <c r="V121" s="23">
        <f t="shared" si="20"/>
        <v>10</v>
      </c>
      <c r="W121" s="25">
        <f t="shared" si="20"/>
        <v>47</v>
      </c>
      <c r="X121" s="23">
        <f t="shared" si="21"/>
        <v>0</v>
      </c>
      <c r="Y121" s="25">
        <f t="shared" si="21"/>
        <v>0</v>
      </c>
    </row>
    <row r="122" spans="1:25" x14ac:dyDescent="0.3">
      <c r="A122" s="1">
        <f t="shared" si="13"/>
        <v>119</v>
      </c>
      <c r="B122" s="17" t="s">
        <v>202</v>
      </c>
      <c r="C122" s="18" t="s">
        <v>201</v>
      </c>
      <c r="D122" s="19">
        <v>2006</v>
      </c>
      <c r="E122" s="20">
        <v>2011</v>
      </c>
      <c r="F122" s="24">
        <f t="shared" si="22"/>
        <v>57</v>
      </c>
      <c r="G122" s="22">
        <f t="shared" si="22"/>
        <v>425</v>
      </c>
      <c r="H122" s="23"/>
      <c r="I122" s="20"/>
      <c r="J122" s="24">
        <v>6</v>
      </c>
      <c r="K122" s="22">
        <v>34</v>
      </c>
      <c r="L122" s="23">
        <v>9</v>
      </c>
      <c r="M122" s="20">
        <v>82</v>
      </c>
      <c r="N122" s="24">
        <v>8</v>
      </c>
      <c r="O122" s="20">
        <v>68</v>
      </c>
      <c r="P122" s="23"/>
      <c r="Q122" s="20"/>
      <c r="R122" s="23"/>
      <c r="S122" s="20"/>
      <c r="T122" s="23">
        <v>34</v>
      </c>
      <c r="U122" s="20">
        <v>241</v>
      </c>
      <c r="V122" s="23">
        <f t="shared" si="20"/>
        <v>23</v>
      </c>
      <c r="W122" s="25">
        <f t="shared" si="20"/>
        <v>184</v>
      </c>
      <c r="X122" s="23">
        <f t="shared" si="21"/>
        <v>15</v>
      </c>
      <c r="Y122" s="25">
        <f t="shared" si="21"/>
        <v>116</v>
      </c>
    </row>
    <row r="123" spans="1:25" x14ac:dyDescent="0.3">
      <c r="A123" s="1">
        <f t="shared" si="13"/>
        <v>120</v>
      </c>
      <c r="B123" s="17" t="s">
        <v>203</v>
      </c>
      <c r="C123" s="18" t="s">
        <v>204</v>
      </c>
      <c r="D123" s="19">
        <v>2004</v>
      </c>
      <c r="E123" s="20">
        <v>2004</v>
      </c>
      <c r="F123" s="24">
        <f t="shared" si="22"/>
        <v>3</v>
      </c>
      <c r="G123" s="22">
        <f t="shared" si="22"/>
        <v>12</v>
      </c>
      <c r="H123" s="23"/>
      <c r="I123" s="20"/>
      <c r="J123" s="24"/>
      <c r="K123" s="22"/>
      <c r="L123" s="23"/>
      <c r="M123" s="20"/>
      <c r="N123" s="24"/>
      <c r="O123" s="20"/>
      <c r="P123" s="23"/>
      <c r="Q123" s="20"/>
      <c r="R123" s="23"/>
      <c r="S123" s="20"/>
      <c r="T123" s="23">
        <v>3</v>
      </c>
      <c r="U123" s="20">
        <v>12</v>
      </c>
      <c r="V123" s="23">
        <f t="shared" si="20"/>
        <v>0</v>
      </c>
      <c r="W123" s="25">
        <f t="shared" si="20"/>
        <v>0</v>
      </c>
      <c r="X123" s="23">
        <f t="shared" si="21"/>
        <v>0</v>
      </c>
      <c r="Y123" s="25">
        <f t="shared" si="21"/>
        <v>0</v>
      </c>
    </row>
    <row r="124" spans="1:25" x14ac:dyDescent="0.3">
      <c r="A124" s="1">
        <f t="shared" si="13"/>
        <v>121</v>
      </c>
      <c r="B124" s="17" t="s">
        <v>205</v>
      </c>
      <c r="C124" s="18" t="s">
        <v>206</v>
      </c>
      <c r="D124" s="23">
        <v>2007</v>
      </c>
      <c r="E124" s="20">
        <v>2020</v>
      </c>
      <c r="F124" s="24">
        <f t="shared" si="22"/>
        <v>66</v>
      </c>
      <c r="G124" s="22">
        <f t="shared" si="22"/>
        <v>602</v>
      </c>
      <c r="H124" s="23"/>
      <c r="I124" s="20"/>
      <c r="J124" s="24">
        <v>9</v>
      </c>
      <c r="K124" s="22">
        <v>102</v>
      </c>
      <c r="L124" s="23">
        <v>12</v>
      </c>
      <c r="M124" s="20">
        <v>112</v>
      </c>
      <c r="N124" s="24">
        <v>10</v>
      </c>
      <c r="O124" s="20">
        <v>93</v>
      </c>
      <c r="P124" s="23"/>
      <c r="Q124" s="20"/>
      <c r="R124" s="23"/>
      <c r="S124" s="20"/>
      <c r="T124" s="23">
        <v>35</v>
      </c>
      <c r="U124" s="20">
        <v>295</v>
      </c>
      <c r="V124" s="23">
        <f t="shared" si="20"/>
        <v>31</v>
      </c>
      <c r="W124" s="25">
        <f t="shared" si="20"/>
        <v>307</v>
      </c>
      <c r="X124" s="23">
        <f t="shared" si="21"/>
        <v>21</v>
      </c>
      <c r="Y124" s="25">
        <f t="shared" si="21"/>
        <v>214</v>
      </c>
    </row>
    <row r="125" spans="1:25" x14ac:dyDescent="0.3">
      <c r="A125" s="1">
        <v>122</v>
      </c>
      <c r="B125" s="17" t="s">
        <v>207</v>
      </c>
      <c r="C125" s="18" t="s">
        <v>208</v>
      </c>
      <c r="D125" s="23">
        <v>1977</v>
      </c>
      <c r="E125" s="20">
        <v>1984</v>
      </c>
      <c r="F125" s="31">
        <f t="shared" si="22"/>
        <v>114</v>
      </c>
      <c r="G125" s="30">
        <f t="shared" si="22"/>
        <v>1129</v>
      </c>
      <c r="H125" s="27"/>
      <c r="I125" s="28"/>
      <c r="J125" s="31">
        <v>19</v>
      </c>
      <c r="K125" s="30">
        <v>155</v>
      </c>
      <c r="L125" s="27">
        <v>24</v>
      </c>
      <c r="M125" s="28">
        <v>119</v>
      </c>
      <c r="N125" s="31"/>
      <c r="O125" s="28"/>
      <c r="P125" s="27"/>
      <c r="Q125" s="28"/>
      <c r="R125" s="27">
        <v>12</v>
      </c>
      <c r="S125" s="28">
        <v>227</v>
      </c>
      <c r="T125" s="27">
        <v>59</v>
      </c>
      <c r="U125" s="28">
        <v>628</v>
      </c>
      <c r="V125" s="27">
        <f t="shared" si="20"/>
        <v>55</v>
      </c>
      <c r="W125" s="32">
        <f t="shared" si="20"/>
        <v>501</v>
      </c>
      <c r="X125" s="27">
        <f t="shared" si="21"/>
        <v>43</v>
      </c>
      <c r="Y125" s="32">
        <f t="shared" si="21"/>
        <v>274</v>
      </c>
    </row>
    <row r="126" spans="1:25" x14ac:dyDescent="0.3">
      <c r="A126" s="1">
        <v>123</v>
      </c>
      <c r="B126" s="17" t="s">
        <v>209</v>
      </c>
      <c r="C126" s="18" t="s">
        <v>210</v>
      </c>
      <c r="D126" s="23">
        <v>1983</v>
      </c>
      <c r="E126" s="20">
        <v>1983</v>
      </c>
      <c r="F126" s="24">
        <f t="shared" si="22"/>
        <v>16</v>
      </c>
      <c r="G126" s="22">
        <f t="shared" si="22"/>
        <v>98</v>
      </c>
      <c r="H126" s="23"/>
      <c r="I126" s="20"/>
      <c r="J126" s="24"/>
      <c r="K126" s="22"/>
      <c r="L126" s="23"/>
      <c r="M126" s="20"/>
      <c r="N126" s="24"/>
      <c r="O126" s="20"/>
      <c r="P126" s="23">
        <v>4</v>
      </c>
      <c r="Q126" s="20">
        <v>47</v>
      </c>
      <c r="R126" s="23">
        <v>4</v>
      </c>
      <c r="S126" s="20">
        <v>21</v>
      </c>
      <c r="T126" s="23">
        <v>8</v>
      </c>
      <c r="U126" s="20">
        <v>30</v>
      </c>
      <c r="V126" s="23">
        <f t="shared" si="20"/>
        <v>8</v>
      </c>
      <c r="W126" s="25">
        <f t="shared" si="20"/>
        <v>68</v>
      </c>
      <c r="X126" s="23">
        <f t="shared" si="21"/>
        <v>0</v>
      </c>
      <c r="Y126" s="25">
        <f t="shared" si="21"/>
        <v>0</v>
      </c>
    </row>
    <row r="127" spans="1:25" x14ac:dyDescent="0.3">
      <c r="A127" s="1">
        <f t="shared" si="13"/>
        <v>124</v>
      </c>
      <c r="B127" s="17" t="s">
        <v>211</v>
      </c>
      <c r="C127" s="18" t="s">
        <v>38</v>
      </c>
      <c r="D127" s="19">
        <v>2001</v>
      </c>
      <c r="E127" s="20">
        <v>2008</v>
      </c>
      <c r="F127" s="24">
        <f t="shared" si="22"/>
        <v>72</v>
      </c>
      <c r="G127" s="22">
        <f t="shared" si="22"/>
        <v>560</v>
      </c>
      <c r="H127" s="23">
        <v>6</v>
      </c>
      <c r="I127" s="20">
        <v>81</v>
      </c>
      <c r="J127" s="24">
        <v>9</v>
      </c>
      <c r="K127" s="22">
        <v>60</v>
      </c>
      <c r="L127" s="23">
        <v>7</v>
      </c>
      <c r="M127" s="20">
        <v>64</v>
      </c>
      <c r="N127" s="24">
        <v>8</v>
      </c>
      <c r="O127" s="20">
        <v>71</v>
      </c>
      <c r="P127" s="23"/>
      <c r="Q127" s="20"/>
      <c r="R127" s="23"/>
      <c r="S127" s="20"/>
      <c r="T127" s="23">
        <v>42</v>
      </c>
      <c r="U127" s="20">
        <v>284</v>
      </c>
      <c r="V127" s="23">
        <f t="shared" si="20"/>
        <v>30</v>
      </c>
      <c r="W127" s="25">
        <f t="shared" si="20"/>
        <v>276</v>
      </c>
      <c r="X127" s="23">
        <f t="shared" si="21"/>
        <v>22</v>
      </c>
      <c r="Y127" s="25">
        <f t="shared" si="21"/>
        <v>205</v>
      </c>
    </row>
    <row r="128" spans="1:25" x14ac:dyDescent="0.3">
      <c r="A128" s="1">
        <f t="shared" si="13"/>
        <v>125</v>
      </c>
      <c r="B128" s="17" t="s">
        <v>212</v>
      </c>
      <c r="C128" s="18" t="s">
        <v>213</v>
      </c>
      <c r="D128" s="19">
        <v>2025</v>
      </c>
      <c r="E128" s="20">
        <v>2025</v>
      </c>
      <c r="F128" s="24">
        <f t="shared" si="22"/>
        <v>11</v>
      </c>
      <c r="G128" s="22">
        <f t="shared" si="22"/>
        <v>115</v>
      </c>
      <c r="H128" s="23"/>
      <c r="I128" s="20"/>
      <c r="J128" s="24"/>
      <c r="K128" s="22"/>
      <c r="L128" s="23">
        <v>4</v>
      </c>
      <c r="M128" s="20">
        <v>25</v>
      </c>
      <c r="N128" s="24"/>
      <c r="O128" s="20"/>
      <c r="P128" s="23"/>
      <c r="Q128" s="20"/>
      <c r="R128" s="23"/>
      <c r="S128" s="20"/>
      <c r="T128" s="23">
        <v>7</v>
      </c>
      <c r="U128" s="20">
        <v>90</v>
      </c>
      <c r="V128" s="23">
        <f t="shared" si="20"/>
        <v>4</v>
      </c>
      <c r="W128" s="25">
        <f t="shared" si="20"/>
        <v>25</v>
      </c>
      <c r="X128" s="23">
        <f t="shared" si="21"/>
        <v>4</v>
      </c>
      <c r="Y128" s="25">
        <f t="shared" si="21"/>
        <v>25</v>
      </c>
    </row>
    <row r="129" spans="1:25" x14ac:dyDescent="0.3">
      <c r="A129" s="1">
        <f t="shared" si="13"/>
        <v>126</v>
      </c>
      <c r="B129" s="17" t="s">
        <v>214</v>
      </c>
      <c r="C129" s="18" t="s">
        <v>215</v>
      </c>
      <c r="D129" s="23">
        <v>2016</v>
      </c>
      <c r="E129" s="20">
        <v>2021</v>
      </c>
      <c r="F129" s="24">
        <f t="shared" si="22"/>
        <v>9</v>
      </c>
      <c r="G129" s="22">
        <f t="shared" si="22"/>
        <v>26</v>
      </c>
      <c r="H129" s="23"/>
      <c r="I129" s="20"/>
      <c r="J129" s="24"/>
      <c r="K129" s="22"/>
      <c r="L129" s="23"/>
      <c r="M129" s="20"/>
      <c r="N129" s="24">
        <v>6</v>
      </c>
      <c r="O129" s="20">
        <v>26</v>
      </c>
      <c r="P129" s="23"/>
      <c r="Q129" s="20"/>
      <c r="R129" s="23"/>
      <c r="S129" s="20"/>
      <c r="T129" s="23">
        <v>3</v>
      </c>
      <c r="U129" s="20">
        <v>0</v>
      </c>
      <c r="V129" s="23">
        <f t="shared" ref="V129:W130" si="23">H129+J129+L129+N129+P129+R129</f>
        <v>6</v>
      </c>
      <c r="W129" s="25">
        <f t="shared" si="23"/>
        <v>26</v>
      </c>
      <c r="X129" s="23">
        <f t="shared" ref="X129:Y130" si="24">H129+J129+L129</f>
        <v>0</v>
      </c>
      <c r="Y129" s="25">
        <f t="shared" si="24"/>
        <v>0</v>
      </c>
    </row>
    <row r="130" spans="1:25" ht="15" thickBot="1" x14ac:dyDescent="0.35">
      <c r="A130" s="1">
        <f t="shared" si="13"/>
        <v>127</v>
      </c>
      <c r="B130" s="37" t="s">
        <v>216</v>
      </c>
      <c r="C130" s="38" t="s">
        <v>42</v>
      </c>
      <c r="D130" s="39">
        <v>1981</v>
      </c>
      <c r="E130" s="40">
        <v>1985</v>
      </c>
      <c r="F130" s="41">
        <f t="shared" ref="F130:G130" si="25">H130+J130+L130+N130+P130+R130+T130</f>
        <v>57</v>
      </c>
      <c r="G130" s="42">
        <f t="shared" si="25"/>
        <v>411</v>
      </c>
      <c r="H130" s="39">
        <v>8</v>
      </c>
      <c r="I130" s="40">
        <v>41</v>
      </c>
      <c r="J130" s="41"/>
      <c r="K130" s="42"/>
      <c r="L130" s="39">
        <v>8</v>
      </c>
      <c r="M130" s="40">
        <v>51</v>
      </c>
      <c r="N130" s="41">
        <v>2</v>
      </c>
      <c r="O130" s="40">
        <v>18</v>
      </c>
      <c r="P130" s="39">
        <v>4</v>
      </c>
      <c r="Q130" s="40">
        <v>53</v>
      </c>
      <c r="R130" s="39">
        <v>8</v>
      </c>
      <c r="S130" s="40">
        <v>76</v>
      </c>
      <c r="T130" s="39">
        <v>27</v>
      </c>
      <c r="U130" s="40">
        <v>172</v>
      </c>
      <c r="V130" s="39">
        <f t="shared" si="23"/>
        <v>30</v>
      </c>
      <c r="W130" s="43">
        <f t="shared" si="23"/>
        <v>239</v>
      </c>
      <c r="X130" s="39">
        <f t="shared" si="24"/>
        <v>16</v>
      </c>
      <c r="Y130" s="43">
        <f t="shared" si="24"/>
        <v>92</v>
      </c>
    </row>
    <row r="132" spans="1:25" ht="15.6" customHeight="1" x14ac:dyDescent="0.3">
      <c r="B132" s="52" t="s">
        <v>218</v>
      </c>
      <c r="C132" s="52"/>
      <c r="D132" s="52"/>
      <c r="E132" s="52"/>
    </row>
    <row r="133" spans="1:25" ht="18.600000000000001" customHeight="1" thickBot="1" x14ac:dyDescent="0.35">
      <c r="B133" s="53"/>
      <c r="C133" s="53"/>
      <c r="D133" s="53"/>
      <c r="E133" s="53"/>
    </row>
    <row r="134" spans="1:25" x14ac:dyDescent="0.3">
      <c r="A134" s="2"/>
      <c r="B134" s="45" t="s">
        <v>1</v>
      </c>
      <c r="C134" s="47" t="s">
        <v>2</v>
      </c>
      <c r="D134" s="55" t="s">
        <v>4</v>
      </c>
      <c r="E134" s="56"/>
    </row>
    <row r="135" spans="1:25" ht="15" thickBot="1" x14ac:dyDescent="0.35">
      <c r="A135" s="2"/>
      <c r="B135" s="46"/>
      <c r="C135" s="48"/>
      <c r="D135" s="57" t="s">
        <v>16</v>
      </c>
      <c r="E135" s="58" t="s">
        <v>17</v>
      </c>
    </row>
    <row r="136" spans="1:25" ht="15.6" x14ac:dyDescent="0.3">
      <c r="A136" s="1">
        <v>1</v>
      </c>
      <c r="B136" s="17" t="s">
        <v>55</v>
      </c>
      <c r="C136" s="18" t="s">
        <v>56</v>
      </c>
      <c r="D136" s="59">
        <v>246</v>
      </c>
      <c r="E136" s="60">
        <v>3700</v>
      </c>
    </row>
    <row r="137" spans="1:25" ht="15.6" x14ac:dyDescent="0.3">
      <c r="A137" s="1">
        <f>A136+1</f>
        <v>2</v>
      </c>
      <c r="B137" s="17" t="s">
        <v>101</v>
      </c>
      <c r="C137" s="18" t="s">
        <v>70</v>
      </c>
      <c r="D137" s="59">
        <v>216</v>
      </c>
      <c r="E137" s="60">
        <v>3330</v>
      </c>
    </row>
    <row r="138" spans="1:25" ht="15.6" x14ac:dyDescent="0.3">
      <c r="A138" s="1">
        <f t="shared" ref="A138:A201" si="26">A137+1</f>
        <v>3</v>
      </c>
      <c r="B138" s="17" t="s">
        <v>185</v>
      </c>
      <c r="C138" s="18" t="s">
        <v>186</v>
      </c>
      <c r="D138" s="59">
        <v>179</v>
      </c>
      <c r="E138" s="60">
        <v>1465</v>
      </c>
    </row>
    <row r="139" spans="1:25" ht="15.6" x14ac:dyDescent="0.3">
      <c r="A139" s="1">
        <f t="shared" si="26"/>
        <v>4</v>
      </c>
      <c r="B139" s="26" t="s">
        <v>47</v>
      </c>
      <c r="C139" s="25" t="s">
        <v>48</v>
      </c>
      <c r="D139" s="59">
        <v>167</v>
      </c>
      <c r="E139" s="60">
        <v>1446</v>
      </c>
    </row>
    <row r="140" spans="1:25" ht="15.6" x14ac:dyDescent="0.3">
      <c r="A140" s="1">
        <f t="shared" si="26"/>
        <v>5</v>
      </c>
      <c r="B140" s="17" t="s">
        <v>199</v>
      </c>
      <c r="C140" s="18" t="s">
        <v>106</v>
      </c>
      <c r="D140" s="59">
        <v>155</v>
      </c>
      <c r="E140" s="60">
        <v>1131</v>
      </c>
    </row>
    <row r="141" spans="1:25" ht="15.6" x14ac:dyDescent="0.3">
      <c r="A141" s="1">
        <f t="shared" si="26"/>
        <v>6</v>
      </c>
      <c r="B141" s="17" t="s">
        <v>61</v>
      </c>
      <c r="C141" s="18" t="s">
        <v>62</v>
      </c>
      <c r="D141" s="59">
        <v>144</v>
      </c>
      <c r="E141" s="60">
        <v>1351</v>
      </c>
    </row>
    <row r="142" spans="1:25" ht="15.6" x14ac:dyDescent="0.3">
      <c r="A142" s="1">
        <f t="shared" si="26"/>
        <v>7</v>
      </c>
      <c r="B142" s="17" t="s">
        <v>34</v>
      </c>
      <c r="C142" s="18" t="s">
        <v>36</v>
      </c>
      <c r="D142" s="59">
        <v>136</v>
      </c>
      <c r="E142" s="60">
        <v>1844</v>
      </c>
    </row>
    <row r="143" spans="1:25" ht="15.6" x14ac:dyDescent="0.3">
      <c r="A143" s="1">
        <f t="shared" si="26"/>
        <v>8</v>
      </c>
      <c r="B143" s="17" t="s">
        <v>110</v>
      </c>
      <c r="C143" s="18" t="s">
        <v>46</v>
      </c>
      <c r="D143" s="59">
        <v>136</v>
      </c>
      <c r="E143" s="60">
        <v>1570</v>
      </c>
    </row>
    <row r="144" spans="1:25" ht="15.6" x14ac:dyDescent="0.3">
      <c r="A144" s="1">
        <f t="shared" si="26"/>
        <v>9</v>
      </c>
      <c r="B144" s="17" t="s">
        <v>149</v>
      </c>
      <c r="C144" s="18" t="s">
        <v>150</v>
      </c>
      <c r="D144" s="59">
        <v>134</v>
      </c>
      <c r="E144" s="60">
        <v>1549</v>
      </c>
    </row>
    <row r="145" spans="1:5" ht="15.6" x14ac:dyDescent="0.3">
      <c r="A145" s="1">
        <f t="shared" si="26"/>
        <v>10</v>
      </c>
      <c r="B145" s="17" t="s">
        <v>59</v>
      </c>
      <c r="C145" s="18" t="s">
        <v>60</v>
      </c>
      <c r="D145" s="59">
        <v>120</v>
      </c>
      <c r="E145" s="60">
        <v>1304</v>
      </c>
    </row>
    <row r="146" spans="1:5" ht="15.6" x14ac:dyDescent="0.3">
      <c r="A146" s="1">
        <f t="shared" si="26"/>
        <v>11</v>
      </c>
      <c r="B146" s="17" t="s">
        <v>207</v>
      </c>
      <c r="C146" s="18" t="s">
        <v>208</v>
      </c>
      <c r="D146" s="59">
        <v>114</v>
      </c>
      <c r="E146" s="60">
        <v>1129</v>
      </c>
    </row>
    <row r="147" spans="1:5" ht="15.6" x14ac:dyDescent="0.3">
      <c r="A147" s="1">
        <f t="shared" si="26"/>
        <v>12</v>
      </c>
      <c r="B147" s="17" t="s">
        <v>180</v>
      </c>
      <c r="C147" s="18" t="s">
        <v>181</v>
      </c>
      <c r="D147" s="59">
        <v>111</v>
      </c>
      <c r="E147" s="60">
        <v>614</v>
      </c>
    </row>
    <row r="148" spans="1:5" ht="15.6" x14ac:dyDescent="0.3">
      <c r="A148" s="1">
        <f t="shared" si="26"/>
        <v>13</v>
      </c>
      <c r="B148" s="17" t="s">
        <v>172</v>
      </c>
      <c r="C148" s="18" t="s">
        <v>29</v>
      </c>
      <c r="D148" s="59">
        <v>110</v>
      </c>
      <c r="E148" s="60">
        <v>1071</v>
      </c>
    </row>
    <row r="149" spans="1:5" ht="15.6" x14ac:dyDescent="0.3">
      <c r="A149" s="1">
        <f t="shared" si="26"/>
        <v>14</v>
      </c>
      <c r="B149" s="17" t="s">
        <v>68</v>
      </c>
      <c r="C149" s="18" t="s">
        <v>60</v>
      </c>
      <c r="D149" s="59">
        <v>108</v>
      </c>
      <c r="E149" s="60">
        <v>738</v>
      </c>
    </row>
    <row r="150" spans="1:5" ht="15.6" x14ac:dyDescent="0.3">
      <c r="A150" s="1">
        <f t="shared" si="26"/>
        <v>15</v>
      </c>
      <c r="B150" s="17" t="s">
        <v>84</v>
      </c>
      <c r="C150" s="18" t="s">
        <v>33</v>
      </c>
      <c r="D150" s="59">
        <v>107</v>
      </c>
      <c r="E150" s="60">
        <v>1077</v>
      </c>
    </row>
    <row r="151" spans="1:5" ht="15.6" x14ac:dyDescent="0.3">
      <c r="A151" s="1">
        <f t="shared" si="26"/>
        <v>16</v>
      </c>
      <c r="B151" s="17" t="s">
        <v>197</v>
      </c>
      <c r="C151" s="18" t="s">
        <v>142</v>
      </c>
      <c r="D151" s="59">
        <v>107</v>
      </c>
      <c r="E151" s="60">
        <v>667</v>
      </c>
    </row>
    <row r="152" spans="1:5" ht="15.6" x14ac:dyDescent="0.3">
      <c r="A152" s="1">
        <f t="shared" si="26"/>
        <v>17</v>
      </c>
      <c r="B152" s="17" t="s">
        <v>65</v>
      </c>
      <c r="C152" s="18" t="s">
        <v>50</v>
      </c>
      <c r="D152" s="59">
        <v>104</v>
      </c>
      <c r="E152" s="60">
        <v>937</v>
      </c>
    </row>
    <row r="153" spans="1:5" ht="15.6" x14ac:dyDescent="0.3">
      <c r="A153" s="1">
        <f t="shared" si="26"/>
        <v>18</v>
      </c>
      <c r="B153" s="26" t="s">
        <v>115</v>
      </c>
      <c r="C153" s="25" t="s">
        <v>116</v>
      </c>
      <c r="D153" s="59">
        <v>100</v>
      </c>
      <c r="E153" s="60">
        <v>676</v>
      </c>
    </row>
    <row r="154" spans="1:5" ht="15.6" x14ac:dyDescent="0.3">
      <c r="A154" s="1">
        <f t="shared" si="26"/>
        <v>19</v>
      </c>
      <c r="B154" s="17" t="s">
        <v>120</v>
      </c>
      <c r="C154" s="18" t="s">
        <v>33</v>
      </c>
      <c r="D154" s="59">
        <v>100</v>
      </c>
      <c r="E154" s="60">
        <v>722</v>
      </c>
    </row>
    <row r="155" spans="1:5" ht="15.6" x14ac:dyDescent="0.3">
      <c r="A155" s="1">
        <f t="shared" si="26"/>
        <v>20</v>
      </c>
      <c r="B155" s="17" t="s">
        <v>53</v>
      </c>
      <c r="C155" s="18" t="s">
        <v>54</v>
      </c>
      <c r="D155" s="59">
        <v>95</v>
      </c>
      <c r="E155" s="60">
        <v>974</v>
      </c>
    </row>
    <row r="156" spans="1:5" ht="15.6" x14ac:dyDescent="0.3">
      <c r="A156" s="1">
        <f t="shared" si="26"/>
        <v>21</v>
      </c>
      <c r="B156" s="17" t="s">
        <v>155</v>
      </c>
      <c r="C156" s="18" t="s">
        <v>156</v>
      </c>
      <c r="D156" s="59">
        <v>94</v>
      </c>
      <c r="E156" s="60">
        <v>549</v>
      </c>
    </row>
    <row r="157" spans="1:5" ht="15.6" x14ac:dyDescent="0.3">
      <c r="A157" s="1">
        <f t="shared" si="26"/>
        <v>22</v>
      </c>
      <c r="B157" s="17" t="s">
        <v>176</v>
      </c>
      <c r="C157" s="18" t="s">
        <v>144</v>
      </c>
      <c r="D157" s="59">
        <v>94</v>
      </c>
      <c r="E157" s="60">
        <v>864</v>
      </c>
    </row>
    <row r="158" spans="1:5" ht="15.6" x14ac:dyDescent="0.3">
      <c r="A158" s="1">
        <f t="shared" si="26"/>
        <v>23</v>
      </c>
      <c r="B158" s="17" t="s">
        <v>30</v>
      </c>
      <c r="C158" s="18" t="s">
        <v>31</v>
      </c>
      <c r="D158" s="59">
        <v>83</v>
      </c>
      <c r="E158" s="60">
        <v>364</v>
      </c>
    </row>
    <row r="159" spans="1:5" ht="15.6" x14ac:dyDescent="0.3">
      <c r="A159" s="1">
        <f t="shared" si="26"/>
        <v>24</v>
      </c>
      <c r="B159" s="17" t="s">
        <v>132</v>
      </c>
      <c r="C159" s="18" t="s">
        <v>44</v>
      </c>
      <c r="D159" s="59">
        <v>82</v>
      </c>
      <c r="E159" s="60">
        <v>583</v>
      </c>
    </row>
    <row r="160" spans="1:5" ht="15.6" x14ac:dyDescent="0.3">
      <c r="A160" s="1">
        <f t="shared" si="26"/>
        <v>25</v>
      </c>
      <c r="B160" s="17" t="s">
        <v>117</v>
      </c>
      <c r="C160" s="18" t="s">
        <v>44</v>
      </c>
      <c r="D160" s="59">
        <v>76</v>
      </c>
      <c r="E160" s="60">
        <v>320</v>
      </c>
    </row>
    <row r="161" spans="1:5" ht="15.6" x14ac:dyDescent="0.3">
      <c r="A161" s="1">
        <f t="shared" si="26"/>
        <v>26</v>
      </c>
      <c r="B161" s="26" t="s">
        <v>71</v>
      </c>
      <c r="C161" s="25" t="s">
        <v>72</v>
      </c>
      <c r="D161" s="59">
        <v>75</v>
      </c>
      <c r="E161" s="60">
        <v>245</v>
      </c>
    </row>
    <row r="162" spans="1:5" ht="15.6" x14ac:dyDescent="0.3">
      <c r="A162" s="1">
        <f t="shared" si="26"/>
        <v>27</v>
      </c>
      <c r="B162" s="17" t="s">
        <v>131</v>
      </c>
      <c r="C162" s="18" t="s">
        <v>70</v>
      </c>
      <c r="D162" s="59">
        <v>73</v>
      </c>
      <c r="E162" s="60">
        <v>373</v>
      </c>
    </row>
    <row r="163" spans="1:5" ht="15.6" x14ac:dyDescent="0.3">
      <c r="A163" s="1">
        <f t="shared" si="26"/>
        <v>28</v>
      </c>
      <c r="B163" s="17" t="s">
        <v>151</v>
      </c>
      <c r="C163" s="18" t="s">
        <v>152</v>
      </c>
      <c r="D163" s="59">
        <v>72</v>
      </c>
      <c r="E163" s="60">
        <v>233</v>
      </c>
    </row>
    <row r="164" spans="1:5" ht="15.6" x14ac:dyDescent="0.3">
      <c r="A164" s="1">
        <f t="shared" si="26"/>
        <v>29</v>
      </c>
      <c r="B164" s="17" t="s">
        <v>211</v>
      </c>
      <c r="C164" s="18" t="s">
        <v>38</v>
      </c>
      <c r="D164" s="59">
        <v>72</v>
      </c>
      <c r="E164" s="60">
        <v>560</v>
      </c>
    </row>
    <row r="165" spans="1:5" ht="15.6" x14ac:dyDescent="0.3">
      <c r="A165" s="1">
        <f t="shared" si="26"/>
        <v>30</v>
      </c>
      <c r="B165" s="17" t="s">
        <v>22</v>
      </c>
      <c r="C165" s="18" t="s">
        <v>23</v>
      </c>
      <c r="D165" s="59">
        <v>70</v>
      </c>
      <c r="E165" s="60">
        <v>729</v>
      </c>
    </row>
    <row r="166" spans="1:5" ht="15.6" x14ac:dyDescent="0.3">
      <c r="A166" s="1">
        <f t="shared" si="26"/>
        <v>31</v>
      </c>
      <c r="B166" s="17" t="s">
        <v>28</v>
      </c>
      <c r="C166" s="18" t="s">
        <v>29</v>
      </c>
      <c r="D166" s="59">
        <v>70</v>
      </c>
      <c r="E166" s="60">
        <v>374</v>
      </c>
    </row>
    <row r="167" spans="1:5" ht="15.6" x14ac:dyDescent="0.3">
      <c r="A167" s="1">
        <f t="shared" si="26"/>
        <v>32</v>
      </c>
      <c r="B167" s="26" t="s">
        <v>126</v>
      </c>
      <c r="C167" s="25" t="s">
        <v>127</v>
      </c>
      <c r="D167" s="59">
        <v>67</v>
      </c>
      <c r="E167" s="60">
        <v>511</v>
      </c>
    </row>
    <row r="168" spans="1:5" ht="15.6" x14ac:dyDescent="0.3">
      <c r="A168" s="1">
        <f t="shared" si="26"/>
        <v>33</v>
      </c>
      <c r="B168" s="17" t="s">
        <v>159</v>
      </c>
      <c r="C168" s="18" t="s">
        <v>160</v>
      </c>
      <c r="D168" s="59">
        <v>67</v>
      </c>
      <c r="E168" s="60">
        <v>605</v>
      </c>
    </row>
    <row r="169" spans="1:5" ht="15.6" x14ac:dyDescent="0.3">
      <c r="A169" s="1">
        <f t="shared" si="26"/>
        <v>34</v>
      </c>
      <c r="B169" s="26" t="s">
        <v>169</v>
      </c>
      <c r="C169" s="25" t="s">
        <v>171</v>
      </c>
      <c r="D169" s="59">
        <v>66</v>
      </c>
      <c r="E169" s="60">
        <v>379</v>
      </c>
    </row>
    <row r="170" spans="1:5" ht="15.6" x14ac:dyDescent="0.3">
      <c r="A170" s="1">
        <f t="shared" si="26"/>
        <v>35</v>
      </c>
      <c r="B170" s="17" t="s">
        <v>205</v>
      </c>
      <c r="C170" s="18" t="s">
        <v>206</v>
      </c>
      <c r="D170" s="59">
        <v>66</v>
      </c>
      <c r="E170" s="60">
        <v>602</v>
      </c>
    </row>
    <row r="171" spans="1:5" ht="15.6" x14ac:dyDescent="0.3">
      <c r="A171" s="1">
        <f t="shared" si="26"/>
        <v>36</v>
      </c>
      <c r="B171" s="17" t="s">
        <v>175</v>
      </c>
      <c r="C171" s="18" t="s">
        <v>50</v>
      </c>
      <c r="D171" s="59">
        <v>62</v>
      </c>
      <c r="E171" s="60">
        <v>368</v>
      </c>
    </row>
    <row r="172" spans="1:5" ht="15.6" x14ac:dyDescent="0.3">
      <c r="A172" s="1">
        <f t="shared" si="26"/>
        <v>37</v>
      </c>
      <c r="B172" s="17" t="s">
        <v>118</v>
      </c>
      <c r="C172" s="18" t="s">
        <v>64</v>
      </c>
      <c r="D172" s="59">
        <v>60</v>
      </c>
      <c r="E172" s="60">
        <v>466</v>
      </c>
    </row>
    <row r="173" spans="1:5" ht="15.6" x14ac:dyDescent="0.3">
      <c r="A173" s="1">
        <f t="shared" si="26"/>
        <v>38</v>
      </c>
      <c r="B173" s="17" t="s">
        <v>124</v>
      </c>
      <c r="C173" s="18" t="s">
        <v>125</v>
      </c>
      <c r="D173" s="59">
        <v>58</v>
      </c>
      <c r="E173" s="60">
        <v>368</v>
      </c>
    </row>
    <row r="174" spans="1:5" ht="15.6" x14ac:dyDescent="0.3">
      <c r="A174" s="1">
        <f t="shared" si="26"/>
        <v>39</v>
      </c>
      <c r="B174" s="17" t="s">
        <v>202</v>
      </c>
      <c r="C174" s="18" t="s">
        <v>201</v>
      </c>
      <c r="D174" s="59">
        <v>57</v>
      </c>
      <c r="E174" s="60">
        <v>425</v>
      </c>
    </row>
    <row r="175" spans="1:5" ht="15.6" x14ac:dyDescent="0.3">
      <c r="A175" s="1">
        <f t="shared" si="26"/>
        <v>40</v>
      </c>
      <c r="B175" s="17" t="s">
        <v>216</v>
      </c>
      <c r="C175" s="18" t="s">
        <v>42</v>
      </c>
      <c r="D175" s="59">
        <v>57</v>
      </c>
      <c r="E175" s="60">
        <v>411</v>
      </c>
    </row>
    <row r="176" spans="1:5" ht="15.6" x14ac:dyDescent="0.3">
      <c r="A176" s="1">
        <f t="shared" si="26"/>
        <v>41</v>
      </c>
      <c r="B176" s="17" t="s">
        <v>20</v>
      </c>
      <c r="C176" s="18" t="s">
        <v>21</v>
      </c>
      <c r="D176" s="59">
        <v>56</v>
      </c>
      <c r="E176" s="60">
        <v>181</v>
      </c>
    </row>
    <row r="177" spans="1:5" ht="15.6" x14ac:dyDescent="0.3">
      <c r="A177" s="1">
        <f t="shared" si="26"/>
        <v>42</v>
      </c>
      <c r="B177" s="17" t="s">
        <v>119</v>
      </c>
      <c r="C177" s="18" t="s">
        <v>70</v>
      </c>
      <c r="D177" s="59">
        <v>55</v>
      </c>
      <c r="E177" s="60">
        <v>283</v>
      </c>
    </row>
    <row r="178" spans="1:5" ht="15.6" x14ac:dyDescent="0.3">
      <c r="A178" s="1">
        <f t="shared" si="26"/>
        <v>43</v>
      </c>
      <c r="B178" s="26" t="s">
        <v>37</v>
      </c>
      <c r="C178" s="25" t="s">
        <v>38</v>
      </c>
      <c r="D178" s="59">
        <v>52</v>
      </c>
      <c r="E178" s="60">
        <v>113</v>
      </c>
    </row>
    <row r="179" spans="1:5" ht="15.6" x14ac:dyDescent="0.3">
      <c r="A179" s="1">
        <f t="shared" si="26"/>
        <v>44</v>
      </c>
      <c r="B179" s="17" t="s">
        <v>18</v>
      </c>
      <c r="C179" s="18" t="s">
        <v>19</v>
      </c>
      <c r="D179" s="59">
        <v>51</v>
      </c>
      <c r="E179" s="60">
        <v>421</v>
      </c>
    </row>
    <row r="180" spans="1:5" ht="15.6" x14ac:dyDescent="0.3">
      <c r="A180" s="1">
        <f t="shared" si="26"/>
        <v>45</v>
      </c>
      <c r="B180" s="17" t="s">
        <v>105</v>
      </c>
      <c r="C180" s="18" t="s">
        <v>106</v>
      </c>
      <c r="D180" s="59">
        <v>50</v>
      </c>
      <c r="E180" s="60">
        <v>272</v>
      </c>
    </row>
    <row r="181" spans="1:5" ht="15.6" x14ac:dyDescent="0.3">
      <c r="A181" s="1">
        <f t="shared" si="26"/>
        <v>46</v>
      </c>
      <c r="B181" s="17" t="s">
        <v>143</v>
      </c>
      <c r="C181" s="18" t="s">
        <v>144</v>
      </c>
      <c r="D181" s="59">
        <v>48</v>
      </c>
      <c r="E181" s="60">
        <v>249</v>
      </c>
    </row>
    <row r="182" spans="1:5" ht="15.6" x14ac:dyDescent="0.3">
      <c r="A182" s="1">
        <f t="shared" si="26"/>
        <v>47</v>
      </c>
      <c r="B182" s="26" t="s">
        <v>51</v>
      </c>
      <c r="C182" s="25" t="s">
        <v>52</v>
      </c>
      <c r="D182" s="59">
        <v>43</v>
      </c>
      <c r="E182" s="60">
        <v>465</v>
      </c>
    </row>
    <row r="183" spans="1:5" ht="15.6" x14ac:dyDescent="0.3">
      <c r="A183" s="1">
        <f t="shared" si="26"/>
        <v>48</v>
      </c>
      <c r="B183" s="17" t="s">
        <v>130</v>
      </c>
      <c r="C183" s="18" t="s">
        <v>106</v>
      </c>
      <c r="D183" s="59">
        <v>43</v>
      </c>
      <c r="E183" s="60">
        <v>164</v>
      </c>
    </row>
    <row r="184" spans="1:5" ht="15.6" x14ac:dyDescent="0.3">
      <c r="A184" s="1">
        <f t="shared" si="26"/>
        <v>49</v>
      </c>
      <c r="B184" s="17" t="s">
        <v>80</v>
      </c>
      <c r="C184" s="18" t="s">
        <v>81</v>
      </c>
      <c r="D184" s="59">
        <v>42</v>
      </c>
      <c r="E184" s="60">
        <v>327</v>
      </c>
    </row>
    <row r="185" spans="1:5" ht="15.6" x14ac:dyDescent="0.3">
      <c r="A185" s="1">
        <f t="shared" si="26"/>
        <v>50</v>
      </c>
      <c r="B185" s="17" t="s">
        <v>190</v>
      </c>
      <c r="C185" s="18" t="s">
        <v>186</v>
      </c>
      <c r="D185" s="59">
        <v>41</v>
      </c>
      <c r="E185" s="60">
        <v>230</v>
      </c>
    </row>
    <row r="186" spans="1:5" ht="15.6" x14ac:dyDescent="0.3">
      <c r="A186" s="1">
        <f t="shared" si="26"/>
        <v>51</v>
      </c>
      <c r="B186" s="17" t="s">
        <v>96</v>
      </c>
      <c r="C186" s="18" t="s">
        <v>97</v>
      </c>
      <c r="D186" s="59">
        <v>40</v>
      </c>
      <c r="E186" s="60">
        <v>271</v>
      </c>
    </row>
    <row r="187" spans="1:5" ht="15.6" x14ac:dyDescent="0.3">
      <c r="A187" s="1">
        <f t="shared" si="26"/>
        <v>52</v>
      </c>
      <c r="B187" s="17" t="s">
        <v>43</v>
      </c>
      <c r="C187" s="18" t="s">
        <v>44</v>
      </c>
      <c r="D187" s="59">
        <v>38</v>
      </c>
      <c r="E187" s="60">
        <v>165</v>
      </c>
    </row>
    <row r="188" spans="1:5" ht="15.6" x14ac:dyDescent="0.3">
      <c r="A188" s="1">
        <f t="shared" si="26"/>
        <v>53</v>
      </c>
      <c r="B188" s="17" t="s">
        <v>179</v>
      </c>
      <c r="C188" s="18" t="s">
        <v>142</v>
      </c>
      <c r="D188" s="59">
        <v>36</v>
      </c>
      <c r="E188" s="60">
        <v>124</v>
      </c>
    </row>
    <row r="189" spans="1:5" ht="15.6" x14ac:dyDescent="0.3">
      <c r="A189" s="1">
        <f t="shared" si="26"/>
        <v>54</v>
      </c>
      <c r="B189" s="17" t="s">
        <v>57</v>
      </c>
      <c r="C189" s="18" t="s">
        <v>58</v>
      </c>
      <c r="D189" s="59">
        <v>34</v>
      </c>
      <c r="E189" s="60">
        <v>95</v>
      </c>
    </row>
    <row r="190" spans="1:5" ht="15.6" x14ac:dyDescent="0.3">
      <c r="A190" s="1">
        <f t="shared" si="26"/>
        <v>55</v>
      </c>
      <c r="B190" s="17" t="s">
        <v>145</v>
      </c>
      <c r="C190" s="18" t="s">
        <v>146</v>
      </c>
      <c r="D190" s="59">
        <v>34</v>
      </c>
      <c r="E190" s="60">
        <v>105</v>
      </c>
    </row>
    <row r="191" spans="1:5" ht="15.6" x14ac:dyDescent="0.3">
      <c r="A191" s="1">
        <f t="shared" si="26"/>
        <v>56</v>
      </c>
      <c r="B191" s="26" t="s">
        <v>191</v>
      </c>
      <c r="C191" s="25" t="s">
        <v>52</v>
      </c>
      <c r="D191" s="59">
        <v>34</v>
      </c>
      <c r="E191" s="60">
        <v>63</v>
      </c>
    </row>
    <row r="192" spans="1:5" ht="15.6" x14ac:dyDescent="0.3">
      <c r="A192" s="1">
        <f t="shared" si="26"/>
        <v>57</v>
      </c>
      <c r="B192" s="17" t="s">
        <v>154</v>
      </c>
      <c r="C192" s="18" t="s">
        <v>29</v>
      </c>
      <c r="D192" s="59">
        <v>32</v>
      </c>
      <c r="E192" s="60">
        <v>80</v>
      </c>
    </row>
    <row r="193" spans="1:5" ht="15.6" x14ac:dyDescent="0.3">
      <c r="A193" s="1">
        <f t="shared" si="26"/>
        <v>58</v>
      </c>
      <c r="B193" s="26" t="s">
        <v>169</v>
      </c>
      <c r="C193" s="25" t="s">
        <v>170</v>
      </c>
      <c r="D193" s="59">
        <v>32</v>
      </c>
      <c r="E193" s="60">
        <v>224</v>
      </c>
    </row>
    <row r="194" spans="1:5" ht="15.6" x14ac:dyDescent="0.3">
      <c r="A194" s="1">
        <f t="shared" si="26"/>
        <v>59</v>
      </c>
      <c r="B194" s="17" t="s">
        <v>91</v>
      </c>
      <c r="C194" s="18" t="s">
        <v>92</v>
      </c>
      <c r="D194" s="59">
        <v>31</v>
      </c>
      <c r="E194" s="60">
        <v>147</v>
      </c>
    </row>
    <row r="195" spans="1:5" ht="15.6" x14ac:dyDescent="0.3">
      <c r="A195" s="1">
        <f t="shared" si="26"/>
        <v>60</v>
      </c>
      <c r="B195" s="17" t="s">
        <v>75</v>
      </c>
      <c r="C195" s="18" t="s">
        <v>76</v>
      </c>
      <c r="D195" s="59">
        <v>30</v>
      </c>
      <c r="E195" s="60">
        <v>83</v>
      </c>
    </row>
    <row r="196" spans="1:5" ht="15.6" x14ac:dyDescent="0.3">
      <c r="A196" s="1">
        <v>61</v>
      </c>
      <c r="B196" s="17" t="s">
        <v>98</v>
      </c>
      <c r="C196" s="18" t="s">
        <v>99</v>
      </c>
      <c r="D196" s="59">
        <v>28</v>
      </c>
      <c r="E196" s="60">
        <v>77</v>
      </c>
    </row>
    <row r="197" spans="1:5" ht="15.6" x14ac:dyDescent="0.3">
      <c r="A197" s="1">
        <v>62</v>
      </c>
      <c r="B197" s="17" t="s">
        <v>153</v>
      </c>
      <c r="C197" s="18" t="s">
        <v>50</v>
      </c>
      <c r="D197" s="59">
        <v>28</v>
      </c>
      <c r="E197" s="60">
        <v>130</v>
      </c>
    </row>
    <row r="198" spans="1:5" ht="15.6" x14ac:dyDescent="0.3">
      <c r="A198" s="1">
        <f t="shared" si="26"/>
        <v>63</v>
      </c>
      <c r="B198" s="17" t="s">
        <v>159</v>
      </c>
      <c r="C198" s="18" t="s">
        <v>161</v>
      </c>
      <c r="D198" s="59">
        <v>27</v>
      </c>
      <c r="E198" s="60">
        <v>84</v>
      </c>
    </row>
    <row r="199" spans="1:5" ht="15.6" x14ac:dyDescent="0.3">
      <c r="A199" s="1">
        <f t="shared" si="26"/>
        <v>64</v>
      </c>
      <c r="B199" s="26" t="s">
        <v>134</v>
      </c>
      <c r="C199" s="25" t="s">
        <v>135</v>
      </c>
      <c r="D199" s="59">
        <v>24</v>
      </c>
      <c r="E199" s="60">
        <v>30</v>
      </c>
    </row>
    <row r="200" spans="1:5" ht="15.6" x14ac:dyDescent="0.3">
      <c r="A200" s="1">
        <f t="shared" si="26"/>
        <v>65</v>
      </c>
      <c r="B200" s="17" t="s">
        <v>102</v>
      </c>
      <c r="C200" s="18" t="s">
        <v>103</v>
      </c>
      <c r="D200" s="59">
        <v>23</v>
      </c>
      <c r="E200" s="60">
        <v>185</v>
      </c>
    </row>
    <row r="201" spans="1:5" ht="15.6" x14ac:dyDescent="0.3">
      <c r="A201" s="1">
        <f t="shared" si="26"/>
        <v>66</v>
      </c>
      <c r="B201" s="17" t="s">
        <v>198</v>
      </c>
      <c r="C201" s="18" t="s">
        <v>70</v>
      </c>
      <c r="D201" s="59">
        <v>22</v>
      </c>
      <c r="E201" s="60">
        <v>116</v>
      </c>
    </row>
    <row r="202" spans="1:5" ht="15.6" x14ac:dyDescent="0.3">
      <c r="A202" s="1">
        <f t="shared" ref="A202:A262" si="27">A201+1</f>
        <v>67</v>
      </c>
      <c r="B202" s="17" t="s">
        <v>34</v>
      </c>
      <c r="C202" s="18" t="s">
        <v>35</v>
      </c>
      <c r="D202" s="59">
        <v>21</v>
      </c>
      <c r="E202" s="60">
        <v>78</v>
      </c>
    </row>
    <row r="203" spans="1:5" ht="15.6" x14ac:dyDescent="0.3">
      <c r="A203" s="1">
        <f t="shared" si="27"/>
        <v>68</v>
      </c>
      <c r="B203" s="17" t="s">
        <v>85</v>
      </c>
      <c r="C203" s="18" t="s">
        <v>86</v>
      </c>
      <c r="D203" s="59">
        <v>21</v>
      </c>
      <c r="E203" s="60">
        <v>127</v>
      </c>
    </row>
    <row r="204" spans="1:5" ht="15.6" x14ac:dyDescent="0.3">
      <c r="A204" s="1">
        <f t="shared" si="27"/>
        <v>69</v>
      </c>
      <c r="B204" s="17" t="s">
        <v>93</v>
      </c>
      <c r="C204" s="18" t="s">
        <v>94</v>
      </c>
      <c r="D204" s="59">
        <v>20</v>
      </c>
      <c r="E204" s="60">
        <v>151</v>
      </c>
    </row>
    <row r="205" spans="1:5" ht="15.6" x14ac:dyDescent="0.3">
      <c r="A205" s="1">
        <f t="shared" si="27"/>
        <v>70</v>
      </c>
      <c r="B205" s="17" t="s">
        <v>122</v>
      </c>
      <c r="C205" s="18" t="s">
        <v>123</v>
      </c>
      <c r="D205" s="59">
        <v>20</v>
      </c>
      <c r="E205" s="60">
        <v>109</v>
      </c>
    </row>
    <row r="206" spans="1:5" ht="15.6" x14ac:dyDescent="0.3">
      <c r="A206" s="1">
        <f t="shared" si="27"/>
        <v>71</v>
      </c>
      <c r="B206" s="17" t="s">
        <v>192</v>
      </c>
      <c r="C206" s="18" t="s">
        <v>193</v>
      </c>
      <c r="D206" s="59">
        <v>18</v>
      </c>
      <c r="E206" s="60">
        <v>126</v>
      </c>
    </row>
    <row r="207" spans="1:5" ht="15.6" x14ac:dyDescent="0.3">
      <c r="A207" s="1">
        <f t="shared" si="27"/>
        <v>72</v>
      </c>
      <c r="B207" s="26" t="s">
        <v>102</v>
      </c>
      <c r="C207" s="25" t="s">
        <v>104</v>
      </c>
      <c r="D207" s="59">
        <v>18</v>
      </c>
      <c r="E207" s="60">
        <v>88</v>
      </c>
    </row>
    <row r="208" spans="1:5" ht="15.6" x14ac:dyDescent="0.3">
      <c r="A208" s="1">
        <f t="shared" si="27"/>
        <v>73</v>
      </c>
      <c r="B208" s="17" t="s">
        <v>168</v>
      </c>
      <c r="C208" s="18" t="s">
        <v>29</v>
      </c>
      <c r="D208" s="59">
        <v>16</v>
      </c>
      <c r="E208" s="60">
        <v>29</v>
      </c>
    </row>
    <row r="209" spans="1:5" ht="15.6" x14ac:dyDescent="0.3">
      <c r="A209" s="1">
        <f t="shared" si="27"/>
        <v>74</v>
      </c>
      <c r="B209" s="17" t="s">
        <v>209</v>
      </c>
      <c r="C209" s="18" t="s">
        <v>210</v>
      </c>
      <c r="D209" s="59">
        <v>16</v>
      </c>
      <c r="E209" s="60">
        <v>98</v>
      </c>
    </row>
    <row r="210" spans="1:5" ht="15.6" x14ac:dyDescent="0.3">
      <c r="A210" s="1">
        <f t="shared" si="27"/>
        <v>75</v>
      </c>
      <c r="B210" s="17" t="s">
        <v>136</v>
      </c>
      <c r="C210" s="18" t="s">
        <v>106</v>
      </c>
      <c r="D210" s="59">
        <v>14</v>
      </c>
      <c r="E210" s="60">
        <v>51</v>
      </c>
    </row>
    <row r="211" spans="1:5" ht="15.6" x14ac:dyDescent="0.3">
      <c r="A211" s="1">
        <f t="shared" si="27"/>
        <v>76</v>
      </c>
      <c r="B211" s="26" t="s">
        <v>32</v>
      </c>
      <c r="C211" s="25" t="s">
        <v>33</v>
      </c>
      <c r="D211" s="59">
        <v>12</v>
      </c>
      <c r="E211" s="60">
        <v>30</v>
      </c>
    </row>
    <row r="212" spans="1:5" ht="15.6" x14ac:dyDescent="0.3">
      <c r="A212" s="1">
        <f t="shared" si="27"/>
        <v>77</v>
      </c>
      <c r="B212" s="17" t="s">
        <v>212</v>
      </c>
      <c r="C212" s="18" t="s">
        <v>213</v>
      </c>
      <c r="D212" s="61">
        <v>11</v>
      </c>
      <c r="E212" s="60">
        <v>115</v>
      </c>
    </row>
    <row r="213" spans="1:5" ht="15.6" x14ac:dyDescent="0.3">
      <c r="A213" s="1">
        <f t="shared" si="27"/>
        <v>78</v>
      </c>
      <c r="B213" s="17" t="s">
        <v>113</v>
      </c>
      <c r="C213" s="18" t="s">
        <v>81</v>
      </c>
      <c r="D213" s="59">
        <v>11</v>
      </c>
      <c r="E213" s="60">
        <v>46</v>
      </c>
    </row>
    <row r="214" spans="1:5" ht="15.6" x14ac:dyDescent="0.3">
      <c r="A214" s="1">
        <f t="shared" si="27"/>
        <v>79</v>
      </c>
      <c r="B214" s="17" t="s">
        <v>189</v>
      </c>
      <c r="C214" s="18" t="s">
        <v>50</v>
      </c>
      <c r="D214" s="59">
        <v>11</v>
      </c>
      <c r="E214" s="60">
        <v>24</v>
      </c>
    </row>
    <row r="215" spans="1:5" ht="15.6" x14ac:dyDescent="0.3">
      <c r="A215" s="1">
        <f t="shared" si="27"/>
        <v>80</v>
      </c>
      <c r="B215" s="17" t="s">
        <v>194</v>
      </c>
      <c r="C215" s="18" t="s">
        <v>186</v>
      </c>
      <c r="D215" s="59">
        <v>11</v>
      </c>
      <c r="E215" s="60">
        <v>17</v>
      </c>
    </row>
    <row r="216" spans="1:5" ht="15.6" x14ac:dyDescent="0.3">
      <c r="A216" s="1">
        <f t="shared" si="27"/>
        <v>81</v>
      </c>
      <c r="B216" s="26" t="s">
        <v>200</v>
      </c>
      <c r="C216" s="25" t="s">
        <v>201</v>
      </c>
      <c r="D216" s="59">
        <v>11</v>
      </c>
      <c r="E216" s="60">
        <v>49</v>
      </c>
    </row>
    <row r="217" spans="1:5" ht="15.6" x14ac:dyDescent="0.3">
      <c r="A217" s="1">
        <f t="shared" si="27"/>
        <v>82</v>
      </c>
      <c r="B217" s="17" t="s">
        <v>69</v>
      </c>
      <c r="C217" s="18" t="s">
        <v>70</v>
      </c>
      <c r="D217" s="59">
        <v>10</v>
      </c>
      <c r="E217" s="60">
        <v>37</v>
      </c>
    </row>
    <row r="218" spans="1:5" ht="15.6" x14ac:dyDescent="0.3">
      <c r="A218" s="1">
        <f t="shared" si="27"/>
        <v>83</v>
      </c>
      <c r="B218" s="26" t="s">
        <v>140</v>
      </c>
      <c r="C218" s="25" t="s">
        <v>50</v>
      </c>
      <c r="D218" s="59">
        <v>10</v>
      </c>
      <c r="E218" s="60">
        <v>37</v>
      </c>
    </row>
    <row r="219" spans="1:5" ht="15.6" x14ac:dyDescent="0.3">
      <c r="A219" s="1">
        <f t="shared" si="27"/>
        <v>84</v>
      </c>
      <c r="B219" s="17" t="s">
        <v>128</v>
      </c>
      <c r="C219" s="18" t="s">
        <v>64</v>
      </c>
      <c r="D219" s="59">
        <v>9</v>
      </c>
      <c r="E219" s="60">
        <v>48</v>
      </c>
    </row>
    <row r="220" spans="1:5" ht="15.6" x14ac:dyDescent="0.3">
      <c r="A220" s="1">
        <f t="shared" si="27"/>
        <v>85</v>
      </c>
      <c r="B220" s="17" t="s">
        <v>137</v>
      </c>
      <c r="C220" s="18" t="s">
        <v>138</v>
      </c>
      <c r="D220" s="59">
        <v>9</v>
      </c>
      <c r="E220" s="60">
        <v>142</v>
      </c>
    </row>
    <row r="221" spans="1:5" ht="15.6" x14ac:dyDescent="0.3">
      <c r="A221" s="1">
        <f t="shared" si="27"/>
        <v>86</v>
      </c>
      <c r="B221" s="26" t="s">
        <v>141</v>
      </c>
      <c r="C221" s="25" t="s">
        <v>142</v>
      </c>
      <c r="D221" s="59">
        <v>9</v>
      </c>
      <c r="E221" s="60">
        <v>11</v>
      </c>
    </row>
    <row r="222" spans="1:5" ht="15.6" x14ac:dyDescent="0.3">
      <c r="A222" s="1">
        <f t="shared" si="27"/>
        <v>87</v>
      </c>
      <c r="B222" s="17" t="s">
        <v>214</v>
      </c>
      <c r="C222" s="18" t="s">
        <v>215</v>
      </c>
      <c r="D222" s="59">
        <v>9</v>
      </c>
      <c r="E222" s="60">
        <v>26</v>
      </c>
    </row>
    <row r="223" spans="1:5" ht="15.6" x14ac:dyDescent="0.3">
      <c r="A223" s="1">
        <f t="shared" si="27"/>
        <v>88</v>
      </c>
      <c r="B223" s="17" t="s">
        <v>41</v>
      </c>
      <c r="C223" s="18" t="s">
        <v>42</v>
      </c>
      <c r="D223" s="59">
        <v>8</v>
      </c>
      <c r="E223" s="60">
        <v>5</v>
      </c>
    </row>
    <row r="224" spans="1:5" ht="15.6" x14ac:dyDescent="0.3">
      <c r="A224" s="1">
        <f t="shared" si="27"/>
        <v>89</v>
      </c>
      <c r="B224" s="17" t="s">
        <v>49</v>
      </c>
      <c r="C224" s="18" t="s">
        <v>50</v>
      </c>
      <c r="D224" s="59">
        <v>8</v>
      </c>
      <c r="E224" s="60">
        <v>34</v>
      </c>
    </row>
    <row r="225" spans="1:5" ht="15.6" x14ac:dyDescent="0.3">
      <c r="A225" s="1">
        <f t="shared" si="27"/>
        <v>90</v>
      </c>
      <c r="B225" s="17" t="s">
        <v>89</v>
      </c>
      <c r="C225" s="18" t="s">
        <v>90</v>
      </c>
      <c r="D225" s="59">
        <v>8</v>
      </c>
      <c r="E225" s="60">
        <v>4</v>
      </c>
    </row>
    <row r="226" spans="1:5" ht="15.6" x14ac:dyDescent="0.3">
      <c r="A226" s="1">
        <f t="shared" si="27"/>
        <v>91</v>
      </c>
      <c r="B226" s="17" t="s">
        <v>95</v>
      </c>
      <c r="C226" s="18" t="s">
        <v>86</v>
      </c>
      <c r="D226" s="59">
        <v>8</v>
      </c>
      <c r="E226" s="60">
        <v>35</v>
      </c>
    </row>
    <row r="227" spans="1:5" ht="15.6" x14ac:dyDescent="0.3">
      <c r="A227" s="1">
        <f t="shared" si="27"/>
        <v>92</v>
      </c>
      <c r="B227" s="17" t="s">
        <v>157</v>
      </c>
      <c r="C227" s="18" t="s">
        <v>158</v>
      </c>
      <c r="D227" s="59">
        <v>8</v>
      </c>
      <c r="E227" s="60">
        <v>83</v>
      </c>
    </row>
    <row r="228" spans="1:5" ht="15.6" x14ac:dyDescent="0.3">
      <c r="A228" s="1">
        <f t="shared" si="27"/>
        <v>93</v>
      </c>
      <c r="B228" s="17" t="s">
        <v>26</v>
      </c>
      <c r="C228" s="18" t="s">
        <v>27</v>
      </c>
      <c r="D228" s="59">
        <v>7</v>
      </c>
      <c r="E228" s="60">
        <v>13</v>
      </c>
    </row>
    <row r="229" spans="1:5" ht="15.6" x14ac:dyDescent="0.3">
      <c r="A229" s="1">
        <f t="shared" si="27"/>
        <v>94</v>
      </c>
      <c r="B229" s="17" t="s">
        <v>63</v>
      </c>
      <c r="C229" s="18" t="s">
        <v>64</v>
      </c>
      <c r="D229" s="59">
        <v>7</v>
      </c>
      <c r="E229" s="60">
        <v>8</v>
      </c>
    </row>
    <row r="230" spans="1:5" ht="15.6" x14ac:dyDescent="0.3">
      <c r="A230" s="1">
        <f t="shared" si="27"/>
        <v>95</v>
      </c>
      <c r="B230" s="17" t="s">
        <v>73</v>
      </c>
      <c r="C230" s="18" t="s">
        <v>74</v>
      </c>
      <c r="D230" s="59">
        <v>7</v>
      </c>
      <c r="E230" s="60">
        <v>29</v>
      </c>
    </row>
    <row r="231" spans="1:5" ht="15.6" x14ac:dyDescent="0.3">
      <c r="A231" s="1">
        <f t="shared" si="27"/>
        <v>96</v>
      </c>
      <c r="B231" s="26" t="s">
        <v>109</v>
      </c>
      <c r="C231" s="25" t="s">
        <v>27</v>
      </c>
      <c r="D231" s="62">
        <v>7</v>
      </c>
      <c r="E231" s="63">
        <v>22</v>
      </c>
    </row>
    <row r="232" spans="1:5" ht="15.6" x14ac:dyDescent="0.3">
      <c r="A232" s="1">
        <f t="shared" si="27"/>
        <v>97</v>
      </c>
      <c r="B232" s="26" t="s">
        <v>114</v>
      </c>
      <c r="C232" s="25" t="s">
        <v>76</v>
      </c>
      <c r="D232" s="62">
        <v>7</v>
      </c>
      <c r="E232" s="63">
        <v>0</v>
      </c>
    </row>
    <row r="233" spans="1:5" ht="15.6" x14ac:dyDescent="0.3">
      <c r="A233" s="1">
        <f t="shared" si="27"/>
        <v>98</v>
      </c>
      <c r="B233" s="17" t="s">
        <v>45</v>
      </c>
      <c r="C233" s="18" t="s">
        <v>46</v>
      </c>
      <c r="D233" s="62">
        <v>6</v>
      </c>
      <c r="E233" s="63">
        <v>27</v>
      </c>
    </row>
    <row r="234" spans="1:5" ht="15.6" x14ac:dyDescent="0.3">
      <c r="A234" s="1">
        <f t="shared" si="27"/>
        <v>99</v>
      </c>
      <c r="B234" s="17" t="s">
        <v>77</v>
      </c>
      <c r="C234" s="18" t="s">
        <v>217</v>
      </c>
      <c r="D234" s="62">
        <v>6</v>
      </c>
      <c r="E234" s="63">
        <v>43</v>
      </c>
    </row>
    <row r="235" spans="1:5" ht="15.6" x14ac:dyDescent="0.3">
      <c r="A235" s="1">
        <f t="shared" si="27"/>
        <v>100</v>
      </c>
      <c r="B235" s="17" t="s">
        <v>79</v>
      </c>
      <c r="C235" s="18" t="s">
        <v>50</v>
      </c>
      <c r="D235" s="62">
        <v>6</v>
      </c>
      <c r="E235" s="63">
        <v>11</v>
      </c>
    </row>
    <row r="236" spans="1:5" ht="15.6" x14ac:dyDescent="0.3">
      <c r="A236" s="1">
        <f t="shared" si="27"/>
        <v>101</v>
      </c>
      <c r="B236" s="17" t="s">
        <v>162</v>
      </c>
      <c r="C236" s="18" t="s">
        <v>163</v>
      </c>
      <c r="D236" s="62">
        <v>6</v>
      </c>
      <c r="E236" s="63">
        <v>16</v>
      </c>
    </row>
    <row r="237" spans="1:5" ht="15.6" x14ac:dyDescent="0.3">
      <c r="A237" s="1">
        <f t="shared" si="27"/>
        <v>102</v>
      </c>
      <c r="B237" s="26" t="s">
        <v>82</v>
      </c>
      <c r="C237" s="25" t="s">
        <v>83</v>
      </c>
      <c r="D237" s="62">
        <v>5</v>
      </c>
      <c r="E237" s="63">
        <v>14</v>
      </c>
    </row>
    <row r="238" spans="1:5" ht="15.6" x14ac:dyDescent="0.3">
      <c r="A238" s="1">
        <f t="shared" si="27"/>
        <v>103</v>
      </c>
      <c r="B238" s="17" t="s">
        <v>147</v>
      </c>
      <c r="C238" s="18" t="s">
        <v>148</v>
      </c>
      <c r="D238" s="62">
        <v>5</v>
      </c>
      <c r="E238" s="63">
        <v>42</v>
      </c>
    </row>
    <row r="239" spans="1:5" ht="15.6" x14ac:dyDescent="0.3">
      <c r="A239" s="1">
        <f t="shared" si="27"/>
        <v>104</v>
      </c>
      <c r="B239" s="17" t="s">
        <v>166</v>
      </c>
      <c r="C239" s="18" t="s">
        <v>31</v>
      </c>
      <c r="D239" s="62">
        <v>5</v>
      </c>
      <c r="E239" s="63">
        <v>7</v>
      </c>
    </row>
    <row r="240" spans="1:5" ht="15.6" x14ac:dyDescent="0.3">
      <c r="A240" s="1">
        <f t="shared" si="27"/>
        <v>105</v>
      </c>
      <c r="B240" s="26" t="s">
        <v>167</v>
      </c>
      <c r="C240" s="25" t="s">
        <v>99</v>
      </c>
      <c r="D240" s="62">
        <v>5</v>
      </c>
      <c r="E240" s="63">
        <v>2</v>
      </c>
    </row>
    <row r="241" spans="1:5" ht="15.6" x14ac:dyDescent="0.3">
      <c r="A241" s="1">
        <f t="shared" si="27"/>
        <v>106</v>
      </c>
      <c r="B241" s="17" t="s">
        <v>183</v>
      </c>
      <c r="C241" s="18" t="s">
        <v>184</v>
      </c>
      <c r="D241" s="62">
        <v>5</v>
      </c>
      <c r="E241" s="63">
        <v>16</v>
      </c>
    </row>
    <row r="242" spans="1:5" ht="15.6" x14ac:dyDescent="0.3">
      <c r="A242" s="1">
        <f t="shared" si="27"/>
        <v>107</v>
      </c>
      <c r="B242" s="26" t="s">
        <v>195</v>
      </c>
      <c r="C242" s="25" t="s">
        <v>196</v>
      </c>
      <c r="D242" s="62">
        <v>5</v>
      </c>
      <c r="E242" s="63">
        <v>2</v>
      </c>
    </row>
    <row r="243" spans="1:5" ht="15.6" x14ac:dyDescent="0.3">
      <c r="A243" s="1">
        <f t="shared" si="27"/>
        <v>108</v>
      </c>
      <c r="B243" s="17" t="s">
        <v>24</v>
      </c>
      <c r="C243" s="18" t="s">
        <v>25</v>
      </c>
      <c r="D243" s="62">
        <v>4</v>
      </c>
      <c r="E243" s="63">
        <v>37</v>
      </c>
    </row>
    <row r="244" spans="1:5" ht="15.6" x14ac:dyDescent="0.3">
      <c r="A244" s="1">
        <f t="shared" si="27"/>
        <v>109</v>
      </c>
      <c r="B244" s="17" t="s">
        <v>66</v>
      </c>
      <c r="C244" s="18" t="s">
        <v>67</v>
      </c>
      <c r="D244" s="62">
        <v>4</v>
      </c>
      <c r="E244" s="63">
        <v>10</v>
      </c>
    </row>
    <row r="245" spans="1:5" ht="15.6" x14ac:dyDescent="0.3">
      <c r="A245" s="1">
        <f t="shared" si="27"/>
        <v>110</v>
      </c>
      <c r="B245" s="17" t="s">
        <v>87</v>
      </c>
      <c r="C245" s="18" t="s">
        <v>88</v>
      </c>
      <c r="D245" s="62">
        <v>4</v>
      </c>
      <c r="E245" s="63">
        <v>20</v>
      </c>
    </row>
    <row r="246" spans="1:5" ht="15.6" x14ac:dyDescent="0.3">
      <c r="A246" s="1">
        <f t="shared" si="27"/>
        <v>111</v>
      </c>
      <c r="B246" s="17" t="s">
        <v>121</v>
      </c>
      <c r="C246" s="18" t="s">
        <v>76</v>
      </c>
      <c r="D246" s="62">
        <v>4</v>
      </c>
      <c r="E246" s="63">
        <v>6</v>
      </c>
    </row>
    <row r="247" spans="1:5" ht="15.6" x14ac:dyDescent="0.3">
      <c r="A247" s="1">
        <f t="shared" si="27"/>
        <v>112</v>
      </c>
      <c r="B247" s="26" t="s">
        <v>130</v>
      </c>
      <c r="C247" s="25" t="s">
        <v>76</v>
      </c>
      <c r="D247" s="62">
        <v>4</v>
      </c>
      <c r="E247" s="63">
        <v>0</v>
      </c>
    </row>
    <row r="248" spans="1:5" ht="15.6" x14ac:dyDescent="0.3">
      <c r="A248" s="1">
        <f t="shared" si="27"/>
        <v>113</v>
      </c>
      <c r="B248" s="17" t="s">
        <v>100</v>
      </c>
      <c r="C248" s="18" t="s">
        <v>99</v>
      </c>
      <c r="D248" s="62">
        <v>3</v>
      </c>
      <c r="E248" s="63">
        <v>8</v>
      </c>
    </row>
    <row r="249" spans="1:5" ht="15.6" x14ac:dyDescent="0.3">
      <c r="A249" s="1">
        <f t="shared" si="27"/>
        <v>114</v>
      </c>
      <c r="B249" s="26" t="s">
        <v>107</v>
      </c>
      <c r="C249" s="25" t="s">
        <v>108</v>
      </c>
      <c r="D249" s="62">
        <v>3</v>
      </c>
      <c r="E249" s="63">
        <v>3</v>
      </c>
    </row>
    <row r="250" spans="1:5" ht="15.6" x14ac:dyDescent="0.3">
      <c r="A250" s="1">
        <f t="shared" si="27"/>
        <v>115</v>
      </c>
      <c r="B250" s="17" t="s">
        <v>164</v>
      </c>
      <c r="C250" s="18" t="s">
        <v>165</v>
      </c>
      <c r="D250" s="62">
        <v>3</v>
      </c>
      <c r="E250" s="63">
        <v>2</v>
      </c>
    </row>
    <row r="251" spans="1:5" ht="15.6" x14ac:dyDescent="0.3">
      <c r="A251" s="1">
        <f t="shared" si="27"/>
        <v>116</v>
      </c>
      <c r="B251" s="17" t="s">
        <v>173</v>
      </c>
      <c r="C251" s="18" t="s">
        <v>174</v>
      </c>
      <c r="D251" s="62">
        <v>3</v>
      </c>
      <c r="E251" s="63">
        <v>35</v>
      </c>
    </row>
    <row r="252" spans="1:5" ht="15.6" x14ac:dyDescent="0.3">
      <c r="A252" s="1">
        <f t="shared" si="27"/>
        <v>117</v>
      </c>
      <c r="B252" s="26" t="s">
        <v>177</v>
      </c>
      <c r="C252" s="25" t="s">
        <v>178</v>
      </c>
      <c r="D252" s="61">
        <v>3</v>
      </c>
      <c r="E252" s="60">
        <v>2</v>
      </c>
    </row>
    <row r="253" spans="1:5" ht="15.6" x14ac:dyDescent="0.3">
      <c r="A253" s="1">
        <f t="shared" si="27"/>
        <v>118</v>
      </c>
      <c r="B253" s="17" t="s">
        <v>203</v>
      </c>
      <c r="C253" s="18" t="s">
        <v>204</v>
      </c>
      <c r="D253" s="61">
        <v>3</v>
      </c>
      <c r="E253" s="60">
        <v>12</v>
      </c>
    </row>
    <row r="254" spans="1:5" ht="15.6" x14ac:dyDescent="0.3">
      <c r="A254" s="1">
        <f t="shared" si="27"/>
        <v>119</v>
      </c>
      <c r="B254" s="17" t="s">
        <v>39</v>
      </c>
      <c r="C254" s="18" t="s">
        <v>40</v>
      </c>
      <c r="D254" s="61">
        <v>2</v>
      </c>
      <c r="E254" s="60">
        <v>11</v>
      </c>
    </row>
    <row r="255" spans="1:5" ht="15.6" x14ac:dyDescent="0.3">
      <c r="A255" s="1">
        <f t="shared" si="27"/>
        <v>120</v>
      </c>
      <c r="B255" s="17" t="s">
        <v>91</v>
      </c>
      <c r="C255" s="18" t="s">
        <v>58</v>
      </c>
      <c r="D255" s="61">
        <v>2</v>
      </c>
      <c r="E255" s="60">
        <v>2</v>
      </c>
    </row>
    <row r="256" spans="1:5" ht="15.6" x14ac:dyDescent="0.3">
      <c r="A256" s="1">
        <f t="shared" si="27"/>
        <v>121</v>
      </c>
      <c r="B256" s="17" t="s">
        <v>111</v>
      </c>
      <c r="C256" s="18" t="s">
        <v>112</v>
      </c>
      <c r="D256" s="61">
        <v>2</v>
      </c>
      <c r="E256" s="60">
        <v>11</v>
      </c>
    </row>
    <row r="257" spans="1:5" ht="15.6" x14ac:dyDescent="0.3">
      <c r="A257" s="1">
        <v>122</v>
      </c>
      <c r="B257" s="17" t="s">
        <v>129</v>
      </c>
      <c r="C257" s="18" t="s">
        <v>99</v>
      </c>
      <c r="D257" s="61">
        <v>2</v>
      </c>
      <c r="E257" s="60">
        <v>4</v>
      </c>
    </row>
    <row r="258" spans="1:5" ht="15.6" x14ac:dyDescent="0.3">
      <c r="A258" s="1">
        <v>123</v>
      </c>
      <c r="B258" s="17" t="s">
        <v>137</v>
      </c>
      <c r="C258" s="18" t="s">
        <v>139</v>
      </c>
      <c r="D258" s="61">
        <v>2</v>
      </c>
      <c r="E258" s="60">
        <v>14</v>
      </c>
    </row>
    <row r="259" spans="1:5" ht="15.6" x14ac:dyDescent="0.3">
      <c r="A259" s="1">
        <f t="shared" si="27"/>
        <v>124</v>
      </c>
      <c r="B259" s="17" t="s">
        <v>78</v>
      </c>
      <c r="C259" s="18" t="s">
        <v>50</v>
      </c>
      <c r="D259" s="61">
        <v>1</v>
      </c>
      <c r="E259" s="60">
        <v>0</v>
      </c>
    </row>
    <row r="260" spans="1:5" ht="15.6" x14ac:dyDescent="0.3">
      <c r="A260" s="1">
        <f t="shared" si="27"/>
        <v>125</v>
      </c>
      <c r="B260" s="17" t="s">
        <v>133</v>
      </c>
      <c r="C260" s="18" t="s">
        <v>106</v>
      </c>
      <c r="D260" s="61">
        <v>1</v>
      </c>
      <c r="E260" s="60">
        <v>0</v>
      </c>
    </row>
    <row r="261" spans="1:5" ht="15.6" x14ac:dyDescent="0.3">
      <c r="A261" s="1">
        <f t="shared" si="27"/>
        <v>126</v>
      </c>
      <c r="B261" s="26" t="s">
        <v>182</v>
      </c>
      <c r="C261" s="25" t="s">
        <v>19</v>
      </c>
      <c r="D261" s="61">
        <v>1</v>
      </c>
      <c r="E261" s="60">
        <v>0</v>
      </c>
    </row>
    <row r="262" spans="1:5" ht="15.6" x14ac:dyDescent="0.3">
      <c r="A262" s="1">
        <f t="shared" si="27"/>
        <v>127</v>
      </c>
      <c r="B262" s="26" t="s">
        <v>187</v>
      </c>
      <c r="C262" s="25" t="s">
        <v>188</v>
      </c>
      <c r="D262" s="61">
        <v>1</v>
      </c>
      <c r="E262" s="60">
        <v>15</v>
      </c>
    </row>
    <row r="264" spans="1:5" ht="15.6" customHeight="1" x14ac:dyDescent="0.3">
      <c r="B264" s="50" t="s">
        <v>219</v>
      </c>
      <c r="C264" s="50"/>
      <c r="D264" s="50"/>
      <c r="E264" s="50"/>
    </row>
    <row r="265" spans="1:5" ht="18.600000000000001" customHeight="1" thickBot="1" x14ac:dyDescent="0.35">
      <c r="B265" s="51"/>
      <c r="C265" s="51"/>
      <c r="D265" s="51"/>
      <c r="E265" s="51"/>
    </row>
    <row r="266" spans="1:5" x14ac:dyDescent="0.3">
      <c r="A266" s="2"/>
      <c r="B266" s="45" t="s">
        <v>1</v>
      </c>
      <c r="C266" s="47" t="s">
        <v>2</v>
      </c>
      <c r="D266" s="5" t="s">
        <v>4</v>
      </c>
      <c r="E266" s="7"/>
    </row>
    <row r="267" spans="1:5" ht="18" thickBot="1" x14ac:dyDescent="0.35">
      <c r="A267" s="2"/>
      <c r="B267" s="46"/>
      <c r="C267" s="48"/>
      <c r="D267" s="13" t="s">
        <v>16</v>
      </c>
      <c r="E267" s="64" t="s">
        <v>17</v>
      </c>
    </row>
    <row r="268" spans="1:5" ht="15.6" x14ac:dyDescent="0.3">
      <c r="A268" s="1">
        <v>1</v>
      </c>
      <c r="B268" s="17" t="s">
        <v>55</v>
      </c>
      <c r="C268" s="18" t="s">
        <v>56</v>
      </c>
      <c r="D268" s="26">
        <v>246</v>
      </c>
      <c r="E268" s="65">
        <v>3700</v>
      </c>
    </row>
    <row r="269" spans="1:5" ht="15.6" x14ac:dyDescent="0.3">
      <c r="A269" s="1">
        <f>A268+1</f>
        <v>2</v>
      </c>
      <c r="B269" s="17" t="s">
        <v>101</v>
      </c>
      <c r="C269" s="18" t="s">
        <v>70</v>
      </c>
      <c r="D269" s="26">
        <v>216</v>
      </c>
      <c r="E269" s="65">
        <v>3330</v>
      </c>
    </row>
    <row r="270" spans="1:5" ht="15.6" x14ac:dyDescent="0.3">
      <c r="A270" s="1">
        <f t="shared" ref="A270:A333" si="28">A269+1</f>
        <v>3</v>
      </c>
      <c r="B270" s="17" t="s">
        <v>34</v>
      </c>
      <c r="C270" s="18" t="s">
        <v>36</v>
      </c>
      <c r="D270" s="66">
        <v>136</v>
      </c>
      <c r="E270" s="65">
        <v>1844</v>
      </c>
    </row>
    <row r="271" spans="1:5" ht="15.6" x14ac:dyDescent="0.3">
      <c r="A271" s="1">
        <f t="shared" si="28"/>
        <v>4</v>
      </c>
      <c r="B271" s="17" t="s">
        <v>110</v>
      </c>
      <c r="C271" s="18" t="s">
        <v>46</v>
      </c>
      <c r="D271" s="26">
        <v>136</v>
      </c>
      <c r="E271" s="65">
        <v>1570</v>
      </c>
    </row>
    <row r="272" spans="1:5" ht="15.6" x14ac:dyDescent="0.3">
      <c r="A272" s="1">
        <f t="shared" si="28"/>
        <v>5</v>
      </c>
      <c r="B272" s="17" t="s">
        <v>149</v>
      </c>
      <c r="C272" s="18" t="s">
        <v>150</v>
      </c>
      <c r="D272" s="26">
        <v>134</v>
      </c>
      <c r="E272" s="65">
        <v>1549</v>
      </c>
    </row>
    <row r="273" spans="1:5" ht="15.6" x14ac:dyDescent="0.3">
      <c r="A273" s="1">
        <f t="shared" si="28"/>
        <v>6</v>
      </c>
      <c r="B273" s="17" t="s">
        <v>185</v>
      </c>
      <c r="C273" s="18" t="s">
        <v>186</v>
      </c>
      <c r="D273" s="26">
        <v>179</v>
      </c>
      <c r="E273" s="65">
        <v>1465</v>
      </c>
    </row>
    <row r="274" spans="1:5" ht="15.6" x14ac:dyDescent="0.3">
      <c r="A274" s="1">
        <f t="shared" si="28"/>
        <v>7</v>
      </c>
      <c r="B274" s="26" t="s">
        <v>47</v>
      </c>
      <c r="C274" s="25" t="s">
        <v>48</v>
      </c>
      <c r="D274" s="26">
        <v>167</v>
      </c>
      <c r="E274" s="65">
        <v>1446</v>
      </c>
    </row>
    <row r="275" spans="1:5" ht="15.6" x14ac:dyDescent="0.3">
      <c r="A275" s="1">
        <f t="shared" si="28"/>
        <v>8</v>
      </c>
      <c r="B275" s="17" t="s">
        <v>61</v>
      </c>
      <c r="C275" s="18" t="s">
        <v>62</v>
      </c>
      <c r="D275" s="26">
        <v>144</v>
      </c>
      <c r="E275" s="65">
        <v>1351</v>
      </c>
    </row>
    <row r="276" spans="1:5" ht="15.6" x14ac:dyDescent="0.3">
      <c r="A276" s="1">
        <f t="shared" si="28"/>
        <v>9</v>
      </c>
      <c r="B276" s="17" t="s">
        <v>59</v>
      </c>
      <c r="C276" s="18" t="s">
        <v>60</v>
      </c>
      <c r="D276" s="26">
        <v>120</v>
      </c>
      <c r="E276" s="65">
        <v>1304</v>
      </c>
    </row>
    <row r="277" spans="1:5" ht="15.6" x14ac:dyDescent="0.3">
      <c r="A277" s="1">
        <f t="shared" si="28"/>
        <v>10</v>
      </c>
      <c r="B277" s="17" t="s">
        <v>199</v>
      </c>
      <c r="C277" s="18" t="s">
        <v>106</v>
      </c>
      <c r="D277" s="26">
        <v>155</v>
      </c>
      <c r="E277" s="65">
        <v>1131</v>
      </c>
    </row>
    <row r="278" spans="1:5" ht="15.6" x14ac:dyDescent="0.3">
      <c r="A278" s="1">
        <f t="shared" si="28"/>
        <v>11</v>
      </c>
      <c r="B278" s="17" t="s">
        <v>207</v>
      </c>
      <c r="C278" s="18" t="s">
        <v>208</v>
      </c>
      <c r="D278" s="26">
        <v>114</v>
      </c>
      <c r="E278" s="65">
        <v>1129</v>
      </c>
    </row>
    <row r="279" spans="1:5" ht="15.6" x14ac:dyDescent="0.3">
      <c r="A279" s="1">
        <f t="shared" si="28"/>
        <v>12</v>
      </c>
      <c r="B279" s="17" t="s">
        <v>84</v>
      </c>
      <c r="C279" s="18" t="s">
        <v>33</v>
      </c>
      <c r="D279" s="26">
        <v>107</v>
      </c>
      <c r="E279" s="65">
        <v>1077</v>
      </c>
    </row>
    <row r="280" spans="1:5" ht="15.6" x14ac:dyDescent="0.3">
      <c r="A280" s="1">
        <f t="shared" si="28"/>
        <v>13</v>
      </c>
      <c r="B280" s="17" t="s">
        <v>172</v>
      </c>
      <c r="C280" s="18" t="s">
        <v>29</v>
      </c>
      <c r="D280" s="26">
        <v>110</v>
      </c>
      <c r="E280" s="65">
        <v>1071</v>
      </c>
    </row>
    <row r="281" spans="1:5" ht="15.6" x14ac:dyDescent="0.3">
      <c r="A281" s="1">
        <f t="shared" si="28"/>
        <v>14</v>
      </c>
      <c r="B281" s="17" t="s">
        <v>53</v>
      </c>
      <c r="C281" s="18" t="s">
        <v>54</v>
      </c>
      <c r="D281" s="26">
        <v>95</v>
      </c>
      <c r="E281" s="65">
        <v>974</v>
      </c>
    </row>
    <row r="282" spans="1:5" ht="15.6" x14ac:dyDescent="0.3">
      <c r="A282" s="1">
        <f t="shared" si="28"/>
        <v>15</v>
      </c>
      <c r="B282" s="17" t="s">
        <v>65</v>
      </c>
      <c r="C282" s="18" t="s">
        <v>50</v>
      </c>
      <c r="D282" s="26">
        <v>104</v>
      </c>
      <c r="E282" s="65">
        <v>937</v>
      </c>
    </row>
    <row r="283" spans="1:5" ht="15.6" x14ac:dyDescent="0.3">
      <c r="A283" s="1">
        <f t="shared" si="28"/>
        <v>16</v>
      </c>
      <c r="B283" s="17" t="s">
        <v>176</v>
      </c>
      <c r="C283" s="18" t="s">
        <v>144</v>
      </c>
      <c r="D283" s="26">
        <v>94</v>
      </c>
      <c r="E283" s="65">
        <v>864</v>
      </c>
    </row>
    <row r="284" spans="1:5" ht="15.6" x14ac:dyDescent="0.3">
      <c r="A284" s="1">
        <f t="shared" si="28"/>
        <v>17</v>
      </c>
      <c r="B284" s="17" t="s">
        <v>68</v>
      </c>
      <c r="C284" s="18" t="s">
        <v>60</v>
      </c>
      <c r="D284" s="26">
        <v>108</v>
      </c>
      <c r="E284" s="65">
        <v>738</v>
      </c>
    </row>
    <row r="285" spans="1:5" ht="15.6" x14ac:dyDescent="0.3">
      <c r="A285" s="1">
        <f t="shared" si="28"/>
        <v>18</v>
      </c>
      <c r="B285" s="17" t="s">
        <v>22</v>
      </c>
      <c r="C285" s="18" t="s">
        <v>23</v>
      </c>
      <c r="D285" s="26">
        <v>70</v>
      </c>
      <c r="E285" s="65">
        <v>729</v>
      </c>
    </row>
    <row r="286" spans="1:5" ht="15.6" x14ac:dyDescent="0.3">
      <c r="A286" s="1">
        <f t="shared" si="28"/>
        <v>19</v>
      </c>
      <c r="B286" s="17" t="s">
        <v>120</v>
      </c>
      <c r="C286" s="18" t="s">
        <v>33</v>
      </c>
      <c r="D286" s="26">
        <v>100</v>
      </c>
      <c r="E286" s="65">
        <v>722</v>
      </c>
    </row>
    <row r="287" spans="1:5" ht="15.6" x14ac:dyDescent="0.3">
      <c r="A287" s="1">
        <f t="shared" si="28"/>
        <v>20</v>
      </c>
      <c r="B287" s="26" t="s">
        <v>115</v>
      </c>
      <c r="C287" s="25" t="s">
        <v>116</v>
      </c>
      <c r="D287" s="26">
        <v>100</v>
      </c>
      <c r="E287" s="65">
        <v>676</v>
      </c>
    </row>
    <row r="288" spans="1:5" ht="15.6" x14ac:dyDescent="0.3">
      <c r="A288" s="1">
        <f t="shared" si="28"/>
        <v>21</v>
      </c>
      <c r="B288" s="17" t="s">
        <v>197</v>
      </c>
      <c r="C288" s="18" t="s">
        <v>142</v>
      </c>
      <c r="D288" s="26">
        <v>107</v>
      </c>
      <c r="E288" s="65">
        <v>667</v>
      </c>
    </row>
    <row r="289" spans="1:5" ht="15.6" x14ac:dyDescent="0.3">
      <c r="A289" s="1">
        <f t="shared" si="28"/>
        <v>22</v>
      </c>
      <c r="B289" s="17" t="s">
        <v>180</v>
      </c>
      <c r="C289" s="18" t="s">
        <v>181</v>
      </c>
      <c r="D289" s="26">
        <v>111</v>
      </c>
      <c r="E289" s="65">
        <v>614</v>
      </c>
    </row>
    <row r="290" spans="1:5" ht="15.6" x14ac:dyDescent="0.3">
      <c r="A290" s="1">
        <f t="shared" si="28"/>
        <v>23</v>
      </c>
      <c r="B290" s="17" t="s">
        <v>159</v>
      </c>
      <c r="C290" s="18" t="s">
        <v>160</v>
      </c>
      <c r="D290" s="26">
        <v>67</v>
      </c>
      <c r="E290" s="65">
        <v>605</v>
      </c>
    </row>
    <row r="291" spans="1:5" ht="15.6" x14ac:dyDescent="0.3">
      <c r="A291" s="1">
        <f t="shared" si="28"/>
        <v>24</v>
      </c>
      <c r="B291" s="17" t="s">
        <v>205</v>
      </c>
      <c r="C291" s="18" t="s">
        <v>206</v>
      </c>
      <c r="D291" s="26">
        <v>66</v>
      </c>
      <c r="E291" s="65">
        <v>602</v>
      </c>
    </row>
    <row r="292" spans="1:5" ht="15.6" x14ac:dyDescent="0.3">
      <c r="A292" s="1">
        <f t="shared" si="28"/>
        <v>25</v>
      </c>
      <c r="B292" s="17" t="s">
        <v>132</v>
      </c>
      <c r="C292" s="18" t="s">
        <v>44</v>
      </c>
      <c r="D292" s="66">
        <v>82</v>
      </c>
      <c r="E292" s="65">
        <v>583</v>
      </c>
    </row>
    <row r="293" spans="1:5" ht="15.6" x14ac:dyDescent="0.3">
      <c r="A293" s="1">
        <f t="shared" si="28"/>
        <v>26</v>
      </c>
      <c r="B293" s="17" t="s">
        <v>211</v>
      </c>
      <c r="C293" s="18" t="s">
        <v>38</v>
      </c>
      <c r="D293" s="26">
        <v>72</v>
      </c>
      <c r="E293" s="65">
        <v>560</v>
      </c>
    </row>
    <row r="294" spans="1:5" ht="15.6" x14ac:dyDescent="0.3">
      <c r="A294" s="1">
        <f t="shared" si="28"/>
        <v>27</v>
      </c>
      <c r="B294" s="17" t="s">
        <v>155</v>
      </c>
      <c r="C294" s="18" t="s">
        <v>156</v>
      </c>
      <c r="D294" s="26">
        <v>94</v>
      </c>
      <c r="E294" s="65">
        <v>549</v>
      </c>
    </row>
    <row r="295" spans="1:5" ht="15.6" x14ac:dyDescent="0.3">
      <c r="A295" s="1">
        <f t="shared" si="28"/>
        <v>28</v>
      </c>
      <c r="B295" s="26" t="s">
        <v>126</v>
      </c>
      <c r="C295" s="25" t="s">
        <v>127</v>
      </c>
      <c r="D295" s="26">
        <v>67</v>
      </c>
      <c r="E295" s="65">
        <v>511</v>
      </c>
    </row>
    <row r="296" spans="1:5" ht="15.6" x14ac:dyDescent="0.3">
      <c r="A296" s="1">
        <f t="shared" si="28"/>
        <v>29</v>
      </c>
      <c r="B296" s="17" t="s">
        <v>118</v>
      </c>
      <c r="C296" s="18" t="s">
        <v>64</v>
      </c>
      <c r="D296" s="26">
        <v>60</v>
      </c>
      <c r="E296" s="65">
        <v>466</v>
      </c>
    </row>
    <row r="297" spans="1:5" ht="15.6" x14ac:dyDescent="0.3">
      <c r="A297" s="1">
        <f t="shared" si="28"/>
        <v>30</v>
      </c>
      <c r="B297" s="26" t="s">
        <v>51</v>
      </c>
      <c r="C297" s="25" t="s">
        <v>52</v>
      </c>
      <c r="D297" s="26">
        <v>43</v>
      </c>
      <c r="E297" s="65">
        <v>465</v>
      </c>
    </row>
    <row r="298" spans="1:5" ht="15.6" x14ac:dyDescent="0.3">
      <c r="A298" s="1">
        <f t="shared" si="28"/>
        <v>31</v>
      </c>
      <c r="B298" s="17" t="s">
        <v>202</v>
      </c>
      <c r="C298" s="18" t="s">
        <v>201</v>
      </c>
      <c r="D298" s="26">
        <v>57</v>
      </c>
      <c r="E298" s="65">
        <v>425</v>
      </c>
    </row>
    <row r="299" spans="1:5" ht="15.6" x14ac:dyDescent="0.3">
      <c r="A299" s="1">
        <f t="shared" si="28"/>
        <v>32</v>
      </c>
      <c r="B299" s="17" t="s">
        <v>18</v>
      </c>
      <c r="C299" s="18" t="s">
        <v>19</v>
      </c>
      <c r="D299" s="26">
        <v>51</v>
      </c>
      <c r="E299" s="65">
        <v>421</v>
      </c>
    </row>
    <row r="300" spans="1:5" ht="15.6" x14ac:dyDescent="0.3">
      <c r="A300" s="1">
        <f t="shared" si="28"/>
        <v>33</v>
      </c>
      <c r="B300" s="17" t="s">
        <v>216</v>
      </c>
      <c r="C300" s="18" t="s">
        <v>42</v>
      </c>
      <c r="D300" s="26">
        <v>57</v>
      </c>
      <c r="E300" s="65">
        <v>411</v>
      </c>
    </row>
    <row r="301" spans="1:5" ht="15.6" x14ac:dyDescent="0.3">
      <c r="A301" s="1">
        <f t="shared" si="28"/>
        <v>34</v>
      </c>
      <c r="B301" s="26" t="s">
        <v>169</v>
      </c>
      <c r="C301" s="25" t="s">
        <v>171</v>
      </c>
      <c r="D301" s="26">
        <v>66</v>
      </c>
      <c r="E301" s="65">
        <v>379</v>
      </c>
    </row>
    <row r="302" spans="1:5" ht="15.6" x14ac:dyDescent="0.3">
      <c r="A302" s="1">
        <f t="shared" si="28"/>
        <v>35</v>
      </c>
      <c r="B302" s="17" t="s">
        <v>28</v>
      </c>
      <c r="C302" s="18" t="s">
        <v>29</v>
      </c>
      <c r="D302" s="26">
        <v>70</v>
      </c>
      <c r="E302" s="65">
        <v>374</v>
      </c>
    </row>
    <row r="303" spans="1:5" ht="15.6" x14ac:dyDescent="0.3">
      <c r="A303" s="1">
        <f t="shared" si="28"/>
        <v>36</v>
      </c>
      <c r="B303" s="17" t="s">
        <v>131</v>
      </c>
      <c r="C303" s="18" t="s">
        <v>70</v>
      </c>
      <c r="D303" s="26">
        <v>73</v>
      </c>
      <c r="E303" s="65">
        <v>373</v>
      </c>
    </row>
    <row r="304" spans="1:5" ht="15.6" x14ac:dyDescent="0.3">
      <c r="A304" s="1">
        <f t="shared" si="28"/>
        <v>37</v>
      </c>
      <c r="B304" s="17" t="s">
        <v>124</v>
      </c>
      <c r="C304" s="18" t="s">
        <v>125</v>
      </c>
      <c r="D304" s="26">
        <v>58</v>
      </c>
      <c r="E304" s="65">
        <v>368</v>
      </c>
    </row>
    <row r="305" spans="1:5" ht="15.6" x14ac:dyDescent="0.3">
      <c r="A305" s="1">
        <f t="shared" si="28"/>
        <v>38</v>
      </c>
      <c r="B305" s="17" t="s">
        <v>175</v>
      </c>
      <c r="C305" s="18" t="s">
        <v>50</v>
      </c>
      <c r="D305" s="26">
        <v>62</v>
      </c>
      <c r="E305" s="65">
        <v>368</v>
      </c>
    </row>
    <row r="306" spans="1:5" ht="15.6" x14ac:dyDescent="0.3">
      <c r="A306" s="1">
        <f t="shared" si="28"/>
        <v>39</v>
      </c>
      <c r="B306" s="17" t="s">
        <v>30</v>
      </c>
      <c r="C306" s="18" t="s">
        <v>31</v>
      </c>
      <c r="D306" s="26">
        <v>83</v>
      </c>
      <c r="E306" s="65">
        <v>364</v>
      </c>
    </row>
    <row r="307" spans="1:5" ht="15.6" x14ac:dyDescent="0.3">
      <c r="A307" s="1">
        <f t="shared" si="28"/>
        <v>40</v>
      </c>
      <c r="B307" s="17" t="s">
        <v>80</v>
      </c>
      <c r="C307" s="18" t="s">
        <v>81</v>
      </c>
      <c r="D307" s="26">
        <v>42</v>
      </c>
      <c r="E307" s="65">
        <v>327</v>
      </c>
    </row>
    <row r="308" spans="1:5" ht="15.6" x14ac:dyDescent="0.3">
      <c r="A308" s="1">
        <f t="shared" si="28"/>
        <v>41</v>
      </c>
      <c r="B308" s="17" t="s">
        <v>117</v>
      </c>
      <c r="C308" s="18" t="s">
        <v>44</v>
      </c>
      <c r="D308" s="26">
        <v>76</v>
      </c>
      <c r="E308" s="65">
        <v>320</v>
      </c>
    </row>
    <row r="309" spans="1:5" ht="15.6" x14ac:dyDescent="0.3">
      <c r="A309" s="1">
        <f t="shared" si="28"/>
        <v>42</v>
      </c>
      <c r="B309" s="17" t="s">
        <v>119</v>
      </c>
      <c r="C309" s="18" t="s">
        <v>70</v>
      </c>
      <c r="D309" s="26">
        <v>55</v>
      </c>
      <c r="E309" s="65">
        <v>283</v>
      </c>
    </row>
    <row r="310" spans="1:5" ht="15.6" x14ac:dyDescent="0.3">
      <c r="A310" s="1">
        <f t="shared" si="28"/>
        <v>43</v>
      </c>
      <c r="B310" s="17" t="s">
        <v>105</v>
      </c>
      <c r="C310" s="18" t="s">
        <v>106</v>
      </c>
      <c r="D310" s="26">
        <v>50</v>
      </c>
      <c r="E310" s="65">
        <v>272</v>
      </c>
    </row>
    <row r="311" spans="1:5" ht="15.6" x14ac:dyDescent="0.3">
      <c r="A311" s="1">
        <f t="shared" si="28"/>
        <v>44</v>
      </c>
      <c r="B311" s="17" t="s">
        <v>96</v>
      </c>
      <c r="C311" s="18" t="s">
        <v>97</v>
      </c>
      <c r="D311" s="26">
        <v>40</v>
      </c>
      <c r="E311" s="65">
        <v>271</v>
      </c>
    </row>
    <row r="312" spans="1:5" ht="15.6" x14ac:dyDescent="0.3">
      <c r="A312" s="1">
        <f t="shared" si="28"/>
        <v>45</v>
      </c>
      <c r="B312" s="17" t="s">
        <v>143</v>
      </c>
      <c r="C312" s="18" t="s">
        <v>144</v>
      </c>
      <c r="D312" s="26">
        <v>48</v>
      </c>
      <c r="E312" s="65">
        <v>249</v>
      </c>
    </row>
    <row r="313" spans="1:5" ht="15.6" x14ac:dyDescent="0.3">
      <c r="A313" s="1">
        <f t="shared" si="28"/>
        <v>46</v>
      </c>
      <c r="B313" s="26" t="s">
        <v>71</v>
      </c>
      <c r="C313" s="25" t="s">
        <v>72</v>
      </c>
      <c r="D313" s="26">
        <v>75</v>
      </c>
      <c r="E313" s="65">
        <v>245</v>
      </c>
    </row>
    <row r="314" spans="1:5" ht="15.6" x14ac:dyDescent="0.3">
      <c r="A314" s="1">
        <f t="shared" si="28"/>
        <v>47</v>
      </c>
      <c r="B314" s="17" t="s">
        <v>151</v>
      </c>
      <c r="C314" s="18" t="s">
        <v>152</v>
      </c>
      <c r="D314" s="26">
        <v>72</v>
      </c>
      <c r="E314" s="65">
        <v>233</v>
      </c>
    </row>
    <row r="315" spans="1:5" ht="15.6" x14ac:dyDescent="0.3">
      <c r="A315" s="1">
        <f t="shared" si="28"/>
        <v>48</v>
      </c>
      <c r="B315" s="17" t="s">
        <v>190</v>
      </c>
      <c r="C315" s="18" t="s">
        <v>186</v>
      </c>
      <c r="D315" s="26">
        <v>41</v>
      </c>
      <c r="E315" s="65">
        <v>230</v>
      </c>
    </row>
    <row r="316" spans="1:5" ht="15.6" x14ac:dyDescent="0.3">
      <c r="A316" s="1">
        <f t="shared" si="28"/>
        <v>49</v>
      </c>
      <c r="B316" s="26" t="s">
        <v>169</v>
      </c>
      <c r="C316" s="25" t="s">
        <v>170</v>
      </c>
      <c r="D316" s="26">
        <v>32</v>
      </c>
      <c r="E316" s="65">
        <v>224</v>
      </c>
    </row>
    <row r="317" spans="1:5" ht="15.6" x14ac:dyDescent="0.3">
      <c r="A317" s="1">
        <f t="shared" si="28"/>
        <v>50</v>
      </c>
      <c r="B317" s="17" t="s">
        <v>102</v>
      </c>
      <c r="C317" s="18" t="s">
        <v>103</v>
      </c>
      <c r="D317" s="26">
        <v>23</v>
      </c>
      <c r="E317" s="65">
        <v>185</v>
      </c>
    </row>
    <row r="318" spans="1:5" ht="15.6" x14ac:dyDescent="0.3">
      <c r="A318" s="1">
        <f t="shared" si="28"/>
        <v>51</v>
      </c>
      <c r="B318" s="17" t="s">
        <v>20</v>
      </c>
      <c r="C318" s="18" t="s">
        <v>21</v>
      </c>
      <c r="D318" s="26">
        <v>56</v>
      </c>
      <c r="E318" s="65">
        <v>181</v>
      </c>
    </row>
    <row r="319" spans="1:5" ht="15.6" x14ac:dyDescent="0.3">
      <c r="A319" s="1">
        <f t="shared" si="28"/>
        <v>52</v>
      </c>
      <c r="B319" s="17" t="s">
        <v>43</v>
      </c>
      <c r="C319" s="18" t="s">
        <v>44</v>
      </c>
      <c r="D319" s="26">
        <v>38</v>
      </c>
      <c r="E319" s="65">
        <v>165</v>
      </c>
    </row>
    <row r="320" spans="1:5" ht="15.6" x14ac:dyDescent="0.3">
      <c r="A320" s="1">
        <f t="shared" si="28"/>
        <v>53</v>
      </c>
      <c r="B320" s="17" t="s">
        <v>130</v>
      </c>
      <c r="C320" s="18" t="s">
        <v>106</v>
      </c>
      <c r="D320" s="26">
        <v>43</v>
      </c>
      <c r="E320" s="65">
        <v>164</v>
      </c>
    </row>
    <row r="321" spans="1:5" ht="15.6" x14ac:dyDescent="0.3">
      <c r="A321" s="1">
        <f t="shared" si="28"/>
        <v>54</v>
      </c>
      <c r="B321" s="17" t="s">
        <v>93</v>
      </c>
      <c r="C321" s="18" t="s">
        <v>94</v>
      </c>
      <c r="D321" s="26">
        <v>20</v>
      </c>
      <c r="E321" s="65">
        <v>151</v>
      </c>
    </row>
    <row r="322" spans="1:5" ht="15.6" x14ac:dyDescent="0.3">
      <c r="A322" s="1">
        <f t="shared" si="28"/>
        <v>55</v>
      </c>
      <c r="B322" s="17" t="s">
        <v>91</v>
      </c>
      <c r="C322" s="18" t="s">
        <v>92</v>
      </c>
      <c r="D322" s="26">
        <v>31</v>
      </c>
      <c r="E322" s="65">
        <v>147</v>
      </c>
    </row>
    <row r="323" spans="1:5" ht="15.6" x14ac:dyDescent="0.3">
      <c r="A323" s="1">
        <f t="shared" si="28"/>
        <v>56</v>
      </c>
      <c r="B323" s="17" t="s">
        <v>137</v>
      </c>
      <c r="C323" s="18" t="s">
        <v>138</v>
      </c>
      <c r="D323" s="26">
        <v>9</v>
      </c>
      <c r="E323" s="65">
        <v>142</v>
      </c>
    </row>
    <row r="324" spans="1:5" ht="15.6" x14ac:dyDescent="0.3">
      <c r="A324" s="1">
        <f t="shared" si="28"/>
        <v>57</v>
      </c>
      <c r="B324" s="17" t="s">
        <v>153</v>
      </c>
      <c r="C324" s="18" t="s">
        <v>50</v>
      </c>
      <c r="D324" s="26">
        <v>28</v>
      </c>
      <c r="E324" s="65">
        <v>130</v>
      </c>
    </row>
    <row r="325" spans="1:5" ht="15.6" x14ac:dyDescent="0.3">
      <c r="A325" s="1">
        <f t="shared" si="28"/>
        <v>58</v>
      </c>
      <c r="B325" s="17" t="s">
        <v>85</v>
      </c>
      <c r="C325" s="18" t="s">
        <v>86</v>
      </c>
      <c r="D325" s="26">
        <v>21</v>
      </c>
      <c r="E325" s="65">
        <v>127</v>
      </c>
    </row>
    <row r="326" spans="1:5" ht="15.6" x14ac:dyDescent="0.3">
      <c r="A326" s="1">
        <f t="shared" si="28"/>
        <v>59</v>
      </c>
      <c r="B326" s="17" t="s">
        <v>192</v>
      </c>
      <c r="C326" s="18" t="s">
        <v>193</v>
      </c>
      <c r="D326" s="26">
        <v>18</v>
      </c>
      <c r="E326" s="65">
        <v>126</v>
      </c>
    </row>
    <row r="327" spans="1:5" ht="15.6" x14ac:dyDescent="0.3">
      <c r="A327" s="1">
        <f t="shared" si="28"/>
        <v>60</v>
      </c>
      <c r="B327" s="17" t="s">
        <v>179</v>
      </c>
      <c r="C327" s="18" t="s">
        <v>142</v>
      </c>
      <c r="D327" s="26">
        <v>36</v>
      </c>
      <c r="E327" s="65">
        <v>124</v>
      </c>
    </row>
    <row r="328" spans="1:5" ht="15.6" x14ac:dyDescent="0.3">
      <c r="A328" s="1">
        <v>61</v>
      </c>
      <c r="B328" s="17" t="s">
        <v>198</v>
      </c>
      <c r="C328" s="18" t="s">
        <v>70</v>
      </c>
      <c r="D328" s="26">
        <v>22</v>
      </c>
      <c r="E328" s="65">
        <v>116</v>
      </c>
    </row>
    <row r="329" spans="1:5" ht="15.6" x14ac:dyDescent="0.3">
      <c r="A329" s="1">
        <v>62</v>
      </c>
      <c r="B329" s="17" t="s">
        <v>212</v>
      </c>
      <c r="C329" s="18" t="s">
        <v>213</v>
      </c>
      <c r="D329" s="26">
        <v>11</v>
      </c>
      <c r="E329" s="65">
        <v>115</v>
      </c>
    </row>
    <row r="330" spans="1:5" ht="15.6" x14ac:dyDescent="0.3">
      <c r="A330" s="1">
        <f t="shared" si="28"/>
        <v>63</v>
      </c>
      <c r="B330" s="26" t="s">
        <v>37</v>
      </c>
      <c r="C330" s="25" t="s">
        <v>38</v>
      </c>
      <c r="D330" s="26">
        <v>52</v>
      </c>
      <c r="E330" s="65">
        <v>113</v>
      </c>
    </row>
    <row r="331" spans="1:5" ht="15.6" x14ac:dyDescent="0.3">
      <c r="A331" s="1">
        <f t="shared" si="28"/>
        <v>64</v>
      </c>
      <c r="B331" s="17" t="s">
        <v>122</v>
      </c>
      <c r="C331" s="18" t="s">
        <v>123</v>
      </c>
      <c r="D331" s="26">
        <v>20</v>
      </c>
      <c r="E331" s="65">
        <v>109</v>
      </c>
    </row>
    <row r="332" spans="1:5" ht="15.6" x14ac:dyDescent="0.3">
      <c r="A332" s="1">
        <f t="shared" si="28"/>
        <v>65</v>
      </c>
      <c r="B332" s="17" t="s">
        <v>145</v>
      </c>
      <c r="C332" s="18" t="s">
        <v>146</v>
      </c>
      <c r="D332" s="26">
        <v>34</v>
      </c>
      <c r="E332" s="65">
        <v>105</v>
      </c>
    </row>
    <row r="333" spans="1:5" ht="15.6" x14ac:dyDescent="0.3">
      <c r="A333" s="1">
        <f t="shared" si="28"/>
        <v>66</v>
      </c>
      <c r="B333" s="17" t="s">
        <v>209</v>
      </c>
      <c r="C333" s="18" t="s">
        <v>210</v>
      </c>
      <c r="D333" s="26">
        <v>16</v>
      </c>
      <c r="E333" s="65">
        <v>98</v>
      </c>
    </row>
    <row r="334" spans="1:5" ht="15.6" x14ac:dyDescent="0.3">
      <c r="A334" s="1">
        <f t="shared" ref="A334:A394" si="29">A333+1</f>
        <v>67</v>
      </c>
      <c r="B334" s="17" t="s">
        <v>57</v>
      </c>
      <c r="C334" s="18" t="s">
        <v>58</v>
      </c>
      <c r="D334" s="26">
        <v>34</v>
      </c>
      <c r="E334" s="65">
        <v>95</v>
      </c>
    </row>
    <row r="335" spans="1:5" ht="15.6" x14ac:dyDescent="0.3">
      <c r="A335" s="1">
        <f t="shared" si="29"/>
        <v>68</v>
      </c>
      <c r="B335" s="26" t="s">
        <v>102</v>
      </c>
      <c r="C335" s="25" t="s">
        <v>104</v>
      </c>
      <c r="D335" s="26">
        <v>18</v>
      </c>
      <c r="E335" s="65">
        <v>88</v>
      </c>
    </row>
    <row r="336" spans="1:5" ht="15.6" x14ac:dyDescent="0.3">
      <c r="A336" s="1">
        <f t="shared" si="29"/>
        <v>69</v>
      </c>
      <c r="B336" s="17" t="s">
        <v>159</v>
      </c>
      <c r="C336" s="18" t="s">
        <v>161</v>
      </c>
      <c r="D336" s="26">
        <v>27</v>
      </c>
      <c r="E336" s="65">
        <v>84</v>
      </c>
    </row>
    <row r="337" spans="1:5" ht="15.6" x14ac:dyDescent="0.3">
      <c r="A337" s="1">
        <f t="shared" si="29"/>
        <v>70</v>
      </c>
      <c r="B337" s="17" t="s">
        <v>75</v>
      </c>
      <c r="C337" s="18" t="s">
        <v>76</v>
      </c>
      <c r="D337" s="26">
        <v>30</v>
      </c>
      <c r="E337" s="65">
        <v>83</v>
      </c>
    </row>
    <row r="338" spans="1:5" ht="15.6" x14ac:dyDescent="0.3">
      <c r="A338" s="1">
        <f t="shared" si="29"/>
        <v>71</v>
      </c>
      <c r="B338" s="17" t="s">
        <v>157</v>
      </c>
      <c r="C338" s="18" t="s">
        <v>158</v>
      </c>
      <c r="D338" s="26">
        <v>8</v>
      </c>
      <c r="E338" s="65">
        <v>83</v>
      </c>
    </row>
    <row r="339" spans="1:5" ht="15.6" x14ac:dyDescent="0.3">
      <c r="A339" s="1">
        <f t="shared" si="29"/>
        <v>72</v>
      </c>
      <c r="B339" s="17" t="s">
        <v>154</v>
      </c>
      <c r="C339" s="18" t="s">
        <v>29</v>
      </c>
      <c r="D339" s="26">
        <v>32</v>
      </c>
      <c r="E339" s="65">
        <v>80</v>
      </c>
    </row>
    <row r="340" spans="1:5" ht="15.6" x14ac:dyDescent="0.3">
      <c r="A340" s="1">
        <f t="shared" si="29"/>
        <v>73</v>
      </c>
      <c r="B340" s="17" t="s">
        <v>34</v>
      </c>
      <c r="C340" s="18" t="s">
        <v>35</v>
      </c>
      <c r="D340" s="26">
        <v>21</v>
      </c>
      <c r="E340" s="65">
        <v>78</v>
      </c>
    </row>
    <row r="341" spans="1:5" ht="15.6" x14ac:dyDescent="0.3">
      <c r="A341" s="1">
        <f t="shared" si="29"/>
        <v>74</v>
      </c>
      <c r="B341" s="17" t="s">
        <v>98</v>
      </c>
      <c r="C341" s="18" t="s">
        <v>99</v>
      </c>
      <c r="D341" s="26">
        <v>28</v>
      </c>
      <c r="E341" s="65">
        <v>77</v>
      </c>
    </row>
    <row r="342" spans="1:5" ht="15.6" x14ac:dyDescent="0.3">
      <c r="A342" s="1">
        <f t="shared" si="29"/>
        <v>75</v>
      </c>
      <c r="B342" s="26" t="s">
        <v>191</v>
      </c>
      <c r="C342" s="25" t="s">
        <v>52</v>
      </c>
      <c r="D342" s="26">
        <v>34</v>
      </c>
      <c r="E342" s="65">
        <v>63</v>
      </c>
    </row>
    <row r="343" spans="1:5" ht="15.6" x14ac:dyDescent="0.3">
      <c r="A343" s="1">
        <f t="shared" si="29"/>
        <v>76</v>
      </c>
      <c r="B343" s="17" t="s">
        <v>136</v>
      </c>
      <c r="C343" s="18" t="s">
        <v>106</v>
      </c>
      <c r="D343" s="26">
        <v>14</v>
      </c>
      <c r="E343" s="65">
        <v>51</v>
      </c>
    </row>
    <row r="344" spans="1:5" ht="15.6" x14ac:dyDescent="0.3">
      <c r="A344" s="1">
        <f t="shared" si="29"/>
        <v>77</v>
      </c>
      <c r="B344" s="26" t="s">
        <v>200</v>
      </c>
      <c r="C344" s="25" t="s">
        <v>201</v>
      </c>
      <c r="D344" s="26">
        <v>11</v>
      </c>
      <c r="E344" s="65">
        <v>49</v>
      </c>
    </row>
    <row r="345" spans="1:5" ht="15.6" x14ac:dyDescent="0.3">
      <c r="A345" s="1">
        <f t="shared" si="29"/>
        <v>78</v>
      </c>
      <c r="B345" s="17" t="s">
        <v>128</v>
      </c>
      <c r="C345" s="18" t="s">
        <v>64</v>
      </c>
      <c r="D345" s="26">
        <v>9</v>
      </c>
      <c r="E345" s="65">
        <v>48</v>
      </c>
    </row>
    <row r="346" spans="1:5" ht="15.6" x14ac:dyDescent="0.3">
      <c r="A346" s="1">
        <f t="shared" si="29"/>
        <v>79</v>
      </c>
      <c r="B346" s="17" t="s">
        <v>113</v>
      </c>
      <c r="C346" s="18" t="s">
        <v>81</v>
      </c>
      <c r="D346" s="26">
        <v>11</v>
      </c>
      <c r="E346" s="65">
        <v>46</v>
      </c>
    </row>
    <row r="347" spans="1:5" ht="15.6" x14ac:dyDescent="0.3">
      <c r="A347" s="1">
        <f t="shared" si="29"/>
        <v>80</v>
      </c>
      <c r="B347" s="17" t="s">
        <v>77</v>
      </c>
      <c r="C347" s="18" t="s">
        <v>217</v>
      </c>
      <c r="D347" s="26">
        <v>6</v>
      </c>
      <c r="E347" s="65">
        <v>43</v>
      </c>
    </row>
    <row r="348" spans="1:5" ht="15.6" x14ac:dyDescent="0.3">
      <c r="A348" s="1">
        <f t="shared" si="29"/>
        <v>81</v>
      </c>
      <c r="B348" s="17" t="s">
        <v>147</v>
      </c>
      <c r="C348" s="18" t="s">
        <v>148</v>
      </c>
      <c r="D348" s="26">
        <v>5</v>
      </c>
      <c r="E348" s="65">
        <v>42</v>
      </c>
    </row>
    <row r="349" spans="1:5" ht="15.6" x14ac:dyDescent="0.3">
      <c r="A349" s="1">
        <f t="shared" si="29"/>
        <v>82</v>
      </c>
      <c r="B349" s="17" t="s">
        <v>24</v>
      </c>
      <c r="C349" s="18" t="s">
        <v>25</v>
      </c>
      <c r="D349" s="26">
        <v>4</v>
      </c>
      <c r="E349" s="65">
        <v>37</v>
      </c>
    </row>
    <row r="350" spans="1:5" ht="15.6" x14ac:dyDescent="0.3">
      <c r="A350" s="1">
        <f t="shared" si="29"/>
        <v>83</v>
      </c>
      <c r="B350" s="17" t="s">
        <v>69</v>
      </c>
      <c r="C350" s="18" t="s">
        <v>70</v>
      </c>
      <c r="D350" s="26">
        <v>10</v>
      </c>
      <c r="E350" s="65">
        <v>37</v>
      </c>
    </row>
    <row r="351" spans="1:5" ht="15.6" x14ac:dyDescent="0.3">
      <c r="A351" s="1">
        <f t="shared" si="29"/>
        <v>84</v>
      </c>
      <c r="B351" s="26" t="s">
        <v>140</v>
      </c>
      <c r="C351" s="25" t="s">
        <v>50</v>
      </c>
      <c r="D351" s="26">
        <v>10</v>
      </c>
      <c r="E351" s="65">
        <v>37</v>
      </c>
    </row>
    <row r="352" spans="1:5" ht="15.6" x14ac:dyDescent="0.3">
      <c r="A352" s="1">
        <f t="shared" si="29"/>
        <v>85</v>
      </c>
      <c r="B352" s="17" t="s">
        <v>95</v>
      </c>
      <c r="C352" s="18" t="s">
        <v>86</v>
      </c>
      <c r="D352" s="26">
        <v>8</v>
      </c>
      <c r="E352" s="65">
        <v>35</v>
      </c>
    </row>
    <row r="353" spans="1:5" ht="15.6" x14ac:dyDescent="0.3">
      <c r="A353" s="1">
        <f t="shared" si="29"/>
        <v>86</v>
      </c>
      <c r="B353" s="17" t="s">
        <v>173</v>
      </c>
      <c r="C353" s="18" t="s">
        <v>174</v>
      </c>
      <c r="D353" s="26">
        <v>3</v>
      </c>
      <c r="E353" s="65">
        <v>35</v>
      </c>
    </row>
    <row r="354" spans="1:5" ht="15.6" x14ac:dyDescent="0.3">
      <c r="A354" s="1">
        <f t="shared" si="29"/>
        <v>87</v>
      </c>
      <c r="B354" s="17" t="s">
        <v>49</v>
      </c>
      <c r="C354" s="18" t="s">
        <v>50</v>
      </c>
      <c r="D354" s="26">
        <v>8</v>
      </c>
      <c r="E354" s="65">
        <v>34</v>
      </c>
    </row>
    <row r="355" spans="1:5" ht="15.6" x14ac:dyDescent="0.3">
      <c r="A355" s="1">
        <f t="shared" si="29"/>
        <v>88</v>
      </c>
      <c r="B355" s="26" t="s">
        <v>32</v>
      </c>
      <c r="C355" s="25" t="s">
        <v>33</v>
      </c>
      <c r="D355" s="26">
        <v>12</v>
      </c>
      <c r="E355" s="65">
        <v>30</v>
      </c>
    </row>
    <row r="356" spans="1:5" ht="15.6" x14ac:dyDescent="0.3">
      <c r="A356" s="1">
        <f t="shared" si="29"/>
        <v>89</v>
      </c>
      <c r="B356" s="26" t="s">
        <v>134</v>
      </c>
      <c r="C356" s="25" t="s">
        <v>135</v>
      </c>
      <c r="D356" s="26">
        <v>24</v>
      </c>
      <c r="E356" s="65">
        <v>30</v>
      </c>
    </row>
    <row r="357" spans="1:5" ht="15.6" x14ac:dyDescent="0.3">
      <c r="A357" s="1">
        <f t="shared" si="29"/>
        <v>90</v>
      </c>
      <c r="B357" s="17" t="s">
        <v>73</v>
      </c>
      <c r="C357" s="18" t="s">
        <v>74</v>
      </c>
      <c r="D357" s="26">
        <v>7</v>
      </c>
      <c r="E357" s="65">
        <v>29</v>
      </c>
    </row>
    <row r="358" spans="1:5" ht="15.6" x14ac:dyDescent="0.3">
      <c r="A358" s="1">
        <f t="shared" si="29"/>
        <v>91</v>
      </c>
      <c r="B358" s="17" t="s">
        <v>168</v>
      </c>
      <c r="C358" s="18" t="s">
        <v>29</v>
      </c>
      <c r="D358" s="26">
        <v>16</v>
      </c>
      <c r="E358" s="65">
        <v>29</v>
      </c>
    </row>
    <row r="359" spans="1:5" ht="15.6" x14ac:dyDescent="0.3">
      <c r="A359" s="1">
        <f t="shared" si="29"/>
        <v>92</v>
      </c>
      <c r="B359" s="17" t="s">
        <v>45</v>
      </c>
      <c r="C359" s="18" t="s">
        <v>46</v>
      </c>
      <c r="D359" s="26">
        <v>6</v>
      </c>
      <c r="E359" s="65">
        <v>27</v>
      </c>
    </row>
    <row r="360" spans="1:5" ht="15.6" x14ac:dyDescent="0.3">
      <c r="A360" s="1">
        <f t="shared" si="29"/>
        <v>93</v>
      </c>
      <c r="B360" s="17" t="s">
        <v>214</v>
      </c>
      <c r="C360" s="18" t="s">
        <v>215</v>
      </c>
      <c r="D360" s="26">
        <v>9</v>
      </c>
      <c r="E360" s="65">
        <v>26</v>
      </c>
    </row>
    <row r="361" spans="1:5" ht="15.6" x14ac:dyDescent="0.3">
      <c r="A361" s="1">
        <f t="shared" si="29"/>
        <v>94</v>
      </c>
      <c r="B361" s="17" t="s">
        <v>189</v>
      </c>
      <c r="C361" s="18" t="s">
        <v>50</v>
      </c>
      <c r="D361" s="26">
        <v>11</v>
      </c>
      <c r="E361" s="65">
        <v>24</v>
      </c>
    </row>
    <row r="362" spans="1:5" ht="15.6" x14ac:dyDescent="0.3">
      <c r="A362" s="1">
        <f t="shared" si="29"/>
        <v>95</v>
      </c>
      <c r="B362" s="26" t="s">
        <v>109</v>
      </c>
      <c r="C362" s="25" t="s">
        <v>27</v>
      </c>
      <c r="D362" s="67">
        <v>7</v>
      </c>
      <c r="E362" s="68">
        <v>22</v>
      </c>
    </row>
    <row r="363" spans="1:5" ht="15.6" x14ac:dyDescent="0.3">
      <c r="A363" s="1">
        <f t="shared" si="29"/>
        <v>96</v>
      </c>
      <c r="B363" s="17" t="s">
        <v>87</v>
      </c>
      <c r="C363" s="18" t="s">
        <v>88</v>
      </c>
      <c r="D363" s="67">
        <v>4</v>
      </c>
      <c r="E363" s="68">
        <v>20</v>
      </c>
    </row>
    <row r="364" spans="1:5" ht="15.6" x14ac:dyDescent="0.3">
      <c r="A364" s="1">
        <f t="shared" si="29"/>
        <v>97</v>
      </c>
      <c r="B364" s="17" t="s">
        <v>194</v>
      </c>
      <c r="C364" s="18" t="s">
        <v>186</v>
      </c>
      <c r="D364" s="67">
        <v>11</v>
      </c>
      <c r="E364" s="68">
        <v>17</v>
      </c>
    </row>
    <row r="365" spans="1:5" ht="15.6" x14ac:dyDescent="0.3">
      <c r="A365" s="1">
        <f t="shared" si="29"/>
        <v>98</v>
      </c>
      <c r="B365" s="17" t="s">
        <v>162</v>
      </c>
      <c r="C365" s="18" t="s">
        <v>163</v>
      </c>
      <c r="D365" s="67">
        <v>6</v>
      </c>
      <c r="E365" s="68">
        <v>16</v>
      </c>
    </row>
    <row r="366" spans="1:5" ht="15.6" x14ac:dyDescent="0.3">
      <c r="A366" s="1">
        <f t="shared" si="29"/>
        <v>99</v>
      </c>
      <c r="B366" s="17" t="s">
        <v>183</v>
      </c>
      <c r="C366" s="18" t="s">
        <v>184</v>
      </c>
      <c r="D366" s="67">
        <v>5</v>
      </c>
      <c r="E366" s="68">
        <v>16</v>
      </c>
    </row>
    <row r="367" spans="1:5" ht="15.6" x14ac:dyDescent="0.3">
      <c r="A367" s="1">
        <f t="shared" si="29"/>
        <v>100</v>
      </c>
      <c r="B367" s="26" t="s">
        <v>187</v>
      </c>
      <c r="C367" s="25" t="s">
        <v>188</v>
      </c>
      <c r="D367" s="67">
        <v>1</v>
      </c>
      <c r="E367" s="68">
        <v>15</v>
      </c>
    </row>
    <row r="368" spans="1:5" ht="15.6" x14ac:dyDescent="0.3">
      <c r="A368" s="1">
        <f t="shared" si="29"/>
        <v>101</v>
      </c>
      <c r="B368" s="26" t="s">
        <v>82</v>
      </c>
      <c r="C368" s="25" t="s">
        <v>83</v>
      </c>
      <c r="D368" s="67">
        <v>5</v>
      </c>
      <c r="E368" s="68">
        <v>14</v>
      </c>
    </row>
    <row r="369" spans="1:5" ht="15.6" x14ac:dyDescent="0.3">
      <c r="A369" s="1">
        <f t="shared" si="29"/>
        <v>102</v>
      </c>
      <c r="B369" s="17" t="s">
        <v>137</v>
      </c>
      <c r="C369" s="18" t="s">
        <v>139</v>
      </c>
      <c r="D369" s="67">
        <v>2</v>
      </c>
      <c r="E369" s="68">
        <v>14</v>
      </c>
    </row>
    <row r="370" spans="1:5" ht="15.6" x14ac:dyDescent="0.3">
      <c r="A370" s="1">
        <f t="shared" si="29"/>
        <v>103</v>
      </c>
      <c r="B370" s="17" t="s">
        <v>26</v>
      </c>
      <c r="C370" s="18" t="s">
        <v>27</v>
      </c>
      <c r="D370" s="67">
        <v>7</v>
      </c>
      <c r="E370" s="68">
        <v>13</v>
      </c>
    </row>
    <row r="371" spans="1:5" ht="15.6" x14ac:dyDescent="0.3">
      <c r="A371" s="1">
        <f t="shared" si="29"/>
        <v>104</v>
      </c>
      <c r="B371" s="17" t="s">
        <v>203</v>
      </c>
      <c r="C371" s="18" t="s">
        <v>204</v>
      </c>
      <c r="D371" s="67">
        <v>3</v>
      </c>
      <c r="E371" s="68">
        <v>12</v>
      </c>
    </row>
    <row r="372" spans="1:5" ht="15.6" x14ac:dyDescent="0.3">
      <c r="A372" s="1">
        <f t="shared" si="29"/>
        <v>105</v>
      </c>
      <c r="B372" s="17" t="s">
        <v>39</v>
      </c>
      <c r="C372" s="18" t="s">
        <v>40</v>
      </c>
      <c r="D372" s="67">
        <v>2</v>
      </c>
      <c r="E372" s="68">
        <v>11</v>
      </c>
    </row>
    <row r="373" spans="1:5" ht="15.6" x14ac:dyDescent="0.3">
      <c r="A373" s="1">
        <f t="shared" si="29"/>
        <v>106</v>
      </c>
      <c r="B373" s="17" t="s">
        <v>79</v>
      </c>
      <c r="C373" s="18" t="s">
        <v>50</v>
      </c>
      <c r="D373" s="67">
        <v>6</v>
      </c>
      <c r="E373" s="68">
        <v>11</v>
      </c>
    </row>
    <row r="374" spans="1:5" ht="15.6" x14ac:dyDescent="0.3">
      <c r="A374" s="1">
        <f t="shared" si="29"/>
        <v>107</v>
      </c>
      <c r="B374" s="17" t="s">
        <v>111</v>
      </c>
      <c r="C374" s="18" t="s">
        <v>112</v>
      </c>
      <c r="D374" s="67">
        <v>2</v>
      </c>
      <c r="E374" s="68">
        <v>11</v>
      </c>
    </row>
    <row r="375" spans="1:5" ht="15.6" x14ac:dyDescent="0.3">
      <c r="A375" s="1">
        <f t="shared" si="29"/>
        <v>108</v>
      </c>
      <c r="B375" s="26" t="s">
        <v>141</v>
      </c>
      <c r="C375" s="25" t="s">
        <v>142</v>
      </c>
      <c r="D375" s="67">
        <v>9</v>
      </c>
      <c r="E375" s="68">
        <v>11</v>
      </c>
    </row>
    <row r="376" spans="1:5" ht="15.6" x14ac:dyDescent="0.3">
      <c r="A376" s="1">
        <f t="shared" si="29"/>
        <v>109</v>
      </c>
      <c r="B376" s="17" t="s">
        <v>66</v>
      </c>
      <c r="C376" s="18" t="s">
        <v>67</v>
      </c>
      <c r="D376" s="67">
        <v>4</v>
      </c>
      <c r="E376" s="68">
        <v>10</v>
      </c>
    </row>
    <row r="377" spans="1:5" ht="15.6" x14ac:dyDescent="0.3">
      <c r="A377" s="1">
        <f t="shared" si="29"/>
        <v>110</v>
      </c>
      <c r="B377" s="17" t="s">
        <v>63</v>
      </c>
      <c r="C377" s="18" t="s">
        <v>64</v>
      </c>
      <c r="D377" s="67">
        <v>7</v>
      </c>
      <c r="E377" s="68">
        <v>8</v>
      </c>
    </row>
    <row r="378" spans="1:5" ht="15.6" x14ac:dyDescent="0.3">
      <c r="A378" s="1">
        <f t="shared" si="29"/>
        <v>111</v>
      </c>
      <c r="B378" s="17" t="s">
        <v>100</v>
      </c>
      <c r="C378" s="18" t="s">
        <v>99</v>
      </c>
      <c r="D378" s="67">
        <v>3</v>
      </c>
      <c r="E378" s="68">
        <v>8</v>
      </c>
    </row>
    <row r="379" spans="1:5" ht="15.6" x14ac:dyDescent="0.3">
      <c r="A379" s="1">
        <f t="shared" si="29"/>
        <v>112</v>
      </c>
      <c r="B379" s="17" t="s">
        <v>166</v>
      </c>
      <c r="C379" s="18" t="s">
        <v>31</v>
      </c>
      <c r="D379" s="67">
        <v>5</v>
      </c>
      <c r="E379" s="68">
        <v>7</v>
      </c>
    </row>
    <row r="380" spans="1:5" ht="15.6" x14ac:dyDescent="0.3">
      <c r="A380" s="1">
        <f t="shared" si="29"/>
        <v>113</v>
      </c>
      <c r="B380" s="17" t="s">
        <v>121</v>
      </c>
      <c r="C380" s="18" t="s">
        <v>76</v>
      </c>
      <c r="D380" s="67">
        <v>4</v>
      </c>
      <c r="E380" s="68">
        <v>6</v>
      </c>
    </row>
    <row r="381" spans="1:5" ht="15.6" x14ac:dyDescent="0.3">
      <c r="A381" s="1">
        <f t="shared" si="29"/>
        <v>114</v>
      </c>
      <c r="B381" s="17" t="s">
        <v>41</v>
      </c>
      <c r="C381" s="18" t="s">
        <v>42</v>
      </c>
      <c r="D381" s="67">
        <v>8</v>
      </c>
      <c r="E381" s="68">
        <v>5</v>
      </c>
    </row>
    <row r="382" spans="1:5" ht="15.6" x14ac:dyDescent="0.3">
      <c r="A382" s="1">
        <f t="shared" si="29"/>
        <v>115</v>
      </c>
      <c r="B382" s="17" t="s">
        <v>89</v>
      </c>
      <c r="C382" s="18" t="s">
        <v>90</v>
      </c>
      <c r="D382" s="67">
        <v>8</v>
      </c>
      <c r="E382" s="68">
        <v>4</v>
      </c>
    </row>
    <row r="383" spans="1:5" ht="15.6" x14ac:dyDescent="0.3">
      <c r="A383" s="1">
        <f t="shared" si="29"/>
        <v>116</v>
      </c>
      <c r="B383" s="17" t="s">
        <v>129</v>
      </c>
      <c r="C383" s="18" t="s">
        <v>99</v>
      </c>
      <c r="D383" s="23">
        <v>2</v>
      </c>
      <c r="E383" s="65">
        <v>4</v>
      </c>
    </row>
    <row r="384" spans="1:5" ht="15.6" x14ac:dyDescent="0.3">
      <c r="A384" s="1">
        <f t="shared" si="29"/>
        <v>117</v>
      </c>
      <c r="B384" s="26" t="s">
        <v>107</v>
      </c>
      <c r="C384" s="25" t="s">
        <v>108</v>
      </c>
      <c r="D384" s="23">
        <v>3</v>
      </c>
      <c r="E384" s="65">
        <v>3</v>
      </c>
    </row>
    <row r="385" spans="1:6" ht="15.6" x14ac:dyDescent="0.3">
      <c r="A385" s="1">
        <f t="shared" si="29"/>
        <v>118</v>
      </c>
      <c r="B385" s="17" t="s">
        <v>91</v>
      </c>
      <c r="C385" s="18" t="s">
        <v>58</v>
      </c>
      <c r="D385" s="23">
        <v>2</v>
      </c>
      <c r="E385" s="65">
        <v>2</v>
      </c>
    </row>
    <row r="386" spans="1:6" ht="15.6" x14ac:dyDescent="0.3">
      <c r="A386" s="1">
        <f t="shared" si="29"/>
        <v>119</v>
      </c>
      <c r="B386" s="17" t="s">
        <v>164</v>
      </c>
      <c r="C386" s="18" t="s">
        <v>165</v>
      </c>
      <c r="D386" s="23">
        <v>3</v>
      </c>
      <c r="E386" s="65">
        <v>2</v>
      </c>
    </row>
    <row r="387" spans="1:6" ht="15.6" x14ac:dyDescent="0.3">
      <c r="A387" s="1">
        <f t="shared" si="29"/>
        <v>120</v>
      </c>
      <c r="B387" s="26" t="s">
        <v>167</v>
      </c>
      <c r="C387" s="25" t="s">
        <v>99</v>
      </c>
      <c r="D387" s="23">
        <v>5</v>
      </c>
      <c r="E387" s="65">
        <v>2</v>
      </c>
    </row>
    <row r="388" spans="1:6" ht="15.6" x14ac:dyDescent="0.3">
      <c r="A388" s="1">
        <f t="shared" si="29"/>
        <v>121</v>
      </c>
      <c r="B388" s="26" t="s">
        <v>177</v>
      </c>
      <c r="C388" s="25" t="s">
        <v>178</v>
      </c>
      <c r="D388" s="23">
        <v>3</v>
      </c>
      <c r="E388" s="65">
        <v>2</v>
      </c>
    </row>
    <row r="389" spans="1:6" ht="15.6" x14ac:dyDescent="0.3">
      <c r="A389" s="1">
        <v>122</v>
      </c>
      <c r="B389" s="26" t="s">
        <v>195</v>
      </c>
      <c r="C389" s="25" t="s">
        <v>196</v>
      </c>
      <c r="D389" s="23">
        <v>5</v>
      </c>
      <c r="E389" s="65">
        <v>2</v>
      </c>
    </row>
    <row r="390" spans="1:6" ht="15.6" x14ac:dyDescent="0.3">
      <c r="A390" s="1">
        <v>123</v>
      </c>
      <c r="B390" s="17" t="s">
        <v>78</v>
      </c>
      <c r="C390" s="18" t="s">
        <v>50</v>
      </c>
      <c r="D390" s="23">
        <v>1</v>
      </c>
      <c r="E390" s="65">
        <v>0</v>
      </c>
    </row>
    <row r="391" spans="1:6" ht="15.6" x14ac:dyDescent="0.3">
      <c r="A391" s="1">
        <f t="shared" si="29"/>
        <v>124</v>
      </c>
      <c r="B391" s="26" t="s">
        <v>114</v>
      </c>
      <c r="C391" s="25" t="s">
        <v>76</v>
      </c>
      <c r="D391" s="23">
        <v>7</v>
      </c>
      <c r="E391" s="65">
        <v>0</v>
      </c>
    </row>
    <row r="392" spans="1:6" ht="15.6" x14ac:dyDescent="0.3">
      <c r="A392" s="1">
        <f t="shared" si="29"/>
        <v>125</v>
      </c>
      <c r="B392" s="26" t="s">
        <v>130</v>
      </c>
      <c r="C392" s="25" t="s">
        <v>76</v>
      </c>
      <c r="D392" s="23">
        <v>4</v>
      </c>
      <c r="E392" s="65">
        <v>0</v>
      </c>
    </row>
    <row r="393" spans="1:6" ht="15.6" x14ac:dyDescent="0.3">
      <c r="A393" s="1">
        <f t="shared" si="29"/>
        <v>126</v>
      </c>
      <c r="B393" s="17" t="s">
        <v>133</v>
      </c>
      <c r="C393" s="18" t="s">
        <v>106</v>
      </c>
      <c r="D393" s="23">
        <v>1</v>
      </c>
      <c r="E393" s="65">
        <v>0</v>
      </c>
    </row>
    <row r="394" spans="1:6" ht="15.6" x14ac:dyDescent="0.3">
      <c r="A394" s="1">
        <f t="shared" si="29"/>
        <v>127</v>
      </c>
      <c r="B394" s="26" t="s">
        <v>182</v>
      </c>
      <c r="C394" s="25" t="s">
        <v>19</v>
      </c>
      <c r="D394" s="23">
        <v>1</v>
      </c>
      <c r="E394" s="65">
        <v>0</v>
      </c>
    </row>
    <row r="396" spans="1:6" ht="15.6" customHeight="1" x14ac:dyDescent="0.3">
      <c r="B396" s="52" t="s">
        <v>221</v>
      </c>
      <c r="C396" s="52"/>
      <c r="D396" s="52"/>
      <c r="E396" s="52"/>
      <c r="F396" s="52"/>
    </row>
    <row r="397" spans="1:6" ht="18.600000000000001" customHeight="1" thickBot="1" x14ac:dyDescent="0.35">
      <c r="B397" s="52"/>
      <c r="C397" s="52"/>
      <c r="D397" s="52"/>
      <c r="E397" s="52"/>
      <c r="F397" s="52"/>
    </row>
    <row r="398" spans="1:6" ht="15" thickTop="1" x14ac:dyDescent="0.3">
      <c r="A398" s="2"/>
      <c r="B398" s="45" t="s">
        <v>1</v>
      </c>
      <c r="C398" s="47" t="s">
        <v>2</v>
      </c>
      <c r="D398" s="71" t="s">
        <v>4</v>
      </c>
      <c r="E398" s="72"/>
      <c r="F398" s="75" t="s">
        <v>220</v>
      </c>
    </row>
    <row r="399" spans="1:6" ht="15" thickBot="1" x14ac:dyDescent="0.35">
      <c r="A399" s="2"/>
      <c r="B399" s="46"/>
      <c r="C399" s="48"/>
      <c r="D399" s="73" t="s">
        <v>16</v>
      </c>
      <c r="E399" s="74" t="s">
        <v>17</v>
      </c>
      <c r="F399" s="76"/>
    </row>
    <row r="400" spans="1:6" ht="15.6" x14ac:dyDescent="0.3">
      <c r="A400" s="1">
        <v>1</v>
      </c>
      <c r="B400" s="17" t="s">
        <v>137</v>
      </c>
      <c r="C400" s="18" t="s">
        <v>138</v>
      </c>
      <c r="D400" s="21">
        <v>9</v>
      </c>
      <c r="E400" s="22">
        <v>142</v>
      </c>
      <c r="F400" s="69">
        <f t="shared" ref="F400:F463" si="30">E400/D400</f>
        <v>15.777777777777779</v>
      </c>
    </row>
    <row r="401" spans="1:6" ht="15.6" x14ac:dyDescent="0.3">
      <c r="A401" s="1">
        <f>A400+1</f>
        <v>2</v>
      </c>
      <c r="B401" s="17" t="s">
        <v>101</v>
      </c>
      <c r="C401" s="18" t="s">
        <v>70</v>
      </c>
      <c r="D401" s="21">
        <v>216</v>
      </c>
      <c r="E401" s="22">
        <v>3330</v>
      </c>
      <c r="F401" s="70">
        <f t="shared" si="30"/>
        <v>15.416666666666666</v>
      </c>
    </row>
    <row r="402" spans="1:6" ht="15.6" x14ac:dyDescent="0.3">
      <c r="A402" s="1">
        <f t="shared" ref="A402:A465" si="31">A401+1</f>
        <v>3</v>
      </c>
      <c r="B402" s="17" t="s">
        <v>55</v>
      </c>
      <c r="C402" s="18" t="s">
        <v>56</v>
      </c>
      <c r="D402" s="21">
        <v>246</v>
      </c>
      <c r="E402" s="22">
        <v>3700</v>
      </c>
      <c r="F402" s="70">
        <f t="shared" si="30"/>
        <v>15.040650406504065</v>
      </c>
    </row>
    <row r="403" spans="1:6" ht="15.6" x14ac:dyDescent="0.3">
      <c r="A403" s="1">
        <f t="shared" si="31"/>
        <v>4</v>
      </c>
      <c r="B403" s="26" t="s">
        <v>187</v>
      </c>
      <c r="C403" s="25" t="s">
        <v>188</v>
      </c>
      <c r="D403" s="21">
        <v>1</v>
      </c>
      <c r="E403" s="22">
        <v>15</v>
      </c>
      <c r="F403" s="70">
        <f t="shared" si="30"/>
        <v>15</v>
      </c>
    </row>
    <row r="404" spans="1:6" ht="15.6" x14ac:dyDescent="0.3">
      <c r="A404" s="1">
        <f t="shared" si="31"/>
        <v>5</v>
      </c>
      <c r="B404" s="17" t="s">
        <v>34</v>
      </c>
      <c r="C404" s="18" t="s">
        <v>36</v>
      </c>
      <c r="D404" s="21">
        <v>136</v>
      </c>
      <c r="E404" s="22">
        <v>1844</v>
      </c>
      <c r="F404" s="70">
        <f t="shared" si="30"/>
        <v>13.558823529411764</v>
      </c>
    </row>
    <row r="405" spans="1:6" ht="15.6" x14ac:dyDescent="0.3">
      <c r="A405" s="1">
        <f t="shared" si="31"/>
        <v>6</v>
      </c>
      <c r="B405" s="17" t="s">
        <v>173</v>
      </c>
      <c r="C405" s="18" t="s">
        <v>174</v>
      </c>
      <c r="D405" s="21">
        <v>3</v>
      </c>
      <c r="E405" s="22">
        <v>35</v>
      </c>
      <c r="F405" s="70">
        <f t="shared" si="30"/>
        <v>11.666666666666666</v>
      </c>
    </row>
    <row r="406" spans="1:6" ht="15.6" x14ac:dyDescent="0.3">
      <c r="A406" s="1">
        <f t="shared" si="31"/>
        <v>7</v>
      </c>
      <c r="B406" s="17" t="s">
        <v>149</v>
      </c>
      <c r="C406" s="18" t="s">
        <v>150</v>
      </c>
      <c r="D406" s="21">
        <v>134</v>
      </c>
      <c r="E406" s="22">
        <v>1549</v>
      </c>
      <c r="F406" s="70">
        <f t="shared" si="30"/>
        <v>11.559701492537313</v>
      </c>
    </row>
    <row r="407" spans="1:6" ht="15.6" x14ac:dyDescent="0.3">
      <c r="A407" s="1">
        <f t="shared" si="31"/>
        <v>8</v>
      </c>
      <c r="B407" s="17" t="s">
        <v>110</v>
      </c>
      <c r="C407" s="18" t="s">
        <v>46</v>
      </c>
      <c r="D407" s="21">
        <v>136</v>
      </c>
      <c r="E407" s="22">
        <v>1570</v>
      </c>
      <c r="F407" s="70">
        <f t="shared" si="30"/>
        <v>11.544117647058824</v>
      </c>
    </row>
    <row r="408" spans="1:6" ht="15.6" x14ac:dyDescent="0.3">
      <c r="A408" s="1">
        <f t="shared" si="31"/>
        <v>9</v>
      </c>
      <c r="B408" s="17" t="s">
        <v>59</v>
      </c>
      <c r="C408" s="18" t="s">
        <v>60</v>
      </c>
      <c r="D408" s="21">
        <v>120</v>
      </c>
      <c r="E408" s="22">
        <v>1304</v>
      </c>
      <c r="F408" s="70">
        <f t="shared" si="30"/>
        <v>10.866666666666667</v>
      </c>
    </row>
    <row r="409" spans="1:6" ht="15.6" x14ac:dyDescent="0.3">
      <c r="A409" s="1">
        <f t="shared" si="31"/>
        <v>10</v>
      </c>
      <c r="B409" s="26" t="s">
        <v>51</v>
      </c>
      <c r="C409" s="25" t="s">
        <v>52</v>
      </c>
      <c r="D409" s="21">
        <v>43</v>
      </c>
      <c r="E409" s="22">
        <v>465</v>
      </c>
      <c r="F409" s="70">
        <f t="shared" si="30"/>
        <v>10.813953488372093</v>
      </c>
    </row>
    <row r="410" spans="1:6" ht="15.6" x14ac:dyDescent="0.3">
      <c r="A410" s="1">
        <f t="shared" si="31"/>
        <v>11</v>
      </c>
      <c r="B410" s="17" t="s">
        <v>212</v>
      </c>
      <c r="C410" s="18" t="s">
        <v>213</v>
      </c>
      <c r="D410" s="21">
        <v>11</v>
      </c>
      <c r="E410" s="22">
        <v>115</v>
      </c>
      <c r="F410" s="70">
        <f t="shared" si="30"/>
        <v>10.454545454545455</v>
      </c>
    </row>
    <row r="411" spans="1:6" ht="15.6" x14ac:dyDescent="0.3">
      <c r="A411" s="1">
        <f t="shared" si="31"/>
        <v>12</v>
      </c>
      <c r="B411" s="17" t="s">
        <v>22</v>
      </c>
      <c r="C411" s="18" t="s">
        <v>23</v>
      </c>
      <c r="D411" s="21">
        <v>70</v>
      </c>
      <c r="E411" s="22">
        <v>729</v>
      </c>
      <c r="F411" s="70">
        <f t="shared" si="30"/>
        <v>10.414285714285715</v>
      </c>
    </row>
    <row r="412" spans="1:6" ht="15.6" x14ac:dyDescent="0.3">
      <c r="A412" s="1">
        <f t="shared" si="31"/>
        <v>13</v>
      </c>
      <c r="B412" s="17" t="s">
        <v>157</v>
      </c>
      <c r="C412" s="18" t="s">
        <v>158</v>
      </c>
      <c r="D412" s="21">
        <v>8</v>
      </c>
      <c r="E412" s="22">
        <v>83</v>
      </c>
      <c r="F412" s="70">
        <f t="shared" si="30"/>
        <v>10.375</v>
      </c>
    </row>
    <row r="413" spans="1:6" ht="15.6" x14ac:dyDescent="0.3">
      <c r="A413" s="1">
        <f t="shared" si="31"/>
        <v>14</v>
      </c>
      <c r="B413" s="17" t="s">
        <v>53</v>
      </c>
      <c r="C413" s="18" t="s">
        <v>54</v>
      </c>
      <c r="D413" s="21">
        <v>95</v>
      </c>
      <c r="E413" s="22">
        <v>974</v>
      </c>
      <c r="F413" s="70">
        <f t="shared" si="30"/>
        <v>10.252631578947369</v>
      </c>
    </row>
    <row r="414" spans="1:6" ht="15.6" x14ac:dyDescent="0.3">
      <c r="A414" s="1">
        <f t="shared" si="31"/>
        <v>15</v>
      </c>
      <c r="B414" s="17" t="s">
        <v>84</v>
      </c>
      <c r="C414" s="18" t="s">
        <v>33</v>
      </c>
      <c r="D414" s="21">
        <v>107</v>
      </c>
      <c r="E414" s="22">
        <v>1077</v>
      </c>
      <c r="F414" s="70">
        <f t="shared" si="30"/>
        <v>10.065420560747663</v>
      </c>
    </row>
    <row r="415" spans="1:6" ht="15.6" x14ac:dyDescent="0.3">
      <c r="A415" s="1">
        <f t="shared" si="31"/>
        <v>16</v>
      </c>
      <c r="B415" s="17" t="s">
        <v>207</v>
      </c>
      <c r="C415" s="18" t="s">
        <v>208</v>
      </c>
      <c r="D415" s="21">
        <v>114</v>
      </c>
      <c r="E415" s="22">
        <v>1129</v>
      </c>
      <c r="F415" s="70">
        <f t="shared" si="30"/>
        <v>9.9035087719298254</v>
      </c>
    </row>
    <row r="416" spans="1:6" ht="15.6" x14ac:dyDescent="0.3">
      <c r="A416" s="1">
        <f t="shared" si="31"/>
        <v>17</v>
      </c>
      <c r="B416" s="17" t="s">
        <v>172</v>
      </c>
      <c r="C416" s="18" t="s">
        <v>29</v>
      </c>
      <c r="D416" s="21">
        <v>110</v>
      </c>
      <c r="E416" s="22">
        <v>1071</v>
      </c>
      <c r="F416" s="70">
        <f t="shared" si="30"/>
        <v>9.7363636363636363</v>
      </c>
    </row>
    <row r="417" spans="1:6" ht="15.6" x14ac:dyDescent="0.3">
      <c r="A417" s="1">
        <f t="shared" si="31"/>
        <v>18</v>
      </c>
      <c r="B417" s="17" t="s">
        <v>61</v>
      </c>
      <c r="C417" s="18" t="s">
        <v>62</v>
      </c>
      <c r="D417" s="21">
        <v>144</v>
      </c>
      <c r="E417" s="22">
        <v>1351</v>
      </c>
      <c r="F417" s="70">
        <f t="shared" si="30"/>
        <v>9.3819444444444446</v>
      </c>
    </row>
    <row r="418" spans="1:6" ht="15.6" x14ac:dyDescent="0.3">
      <c r="A418" s="1">
        <f t="shared" si="31"/>
        <v>19</v>
      </c>
      <c r="B418" s="17" t="s">
        <v>24</v>
      </c>
      <c r="C418" s="18" t="s">
        <v>25</v>
      </c>
      <c r="D418" s="21">
        <v>4</v>
      </c>
      <c r="E418" s="22">
        <v>37</v>
      </c>
      <c r="F418" s="70">
        <f t="shared" si="30"/>
        <v>9.25</v>
      </c>
    </row>
    <row r="419" spans="1:6" ht="15.6" x14ac:dyDescent="0.3">
      <c r="A419" s="1">
        <f t="shared" si="31"/>
        <v>20</v>
      </c>
      <c r="B419" s="17" t="s">
        <v>176</v>
      </c>
      <c r="C419" s="18" t="s">
        <v>144</v>
      </c>
      <c r="D419" s="21">
        <v>94</v>
      </c>
      <c r="E419" s="22">
        <v>864</v>
      </c>
      <c r="F419" s="70">
        <f t="shared" si="30"/>
        <v>9.1914893617021285</v>
      </c>
    </row>
    <row r="420" spans="1:6" ht="15.6" x14ac:dyDescent="0.3">
      <c r="A420" s="1">
        <f t="shared" si="31"/>
        <v>21</v>
      </c>
      <c r="B420" s="17" t="s">
        <v>205</v>
      </c>
      <c r="C420" s="18" t="s">
        <v>206</v>
      </c>
      <c r="D420" s="21">
        <v>66</v>
      </c>
      <c r="E420" s="22">
        <v>602</v>
      </c>
      <c r="F420" s="70">
        <f t="shared" si="30"/>
        <v>9.1212121212121211</v>
      </c>
    </row>
    <row r="421" spans="1:6" ht="15.6" x14ac:dyDescent="0.3">
      <c r="A421" s="1">
        <f t="shared" si="31"/>
        <v>22</v>
      </c>
      <c r="B421" s="17" t="s">
        <v>159</v>
      </c>
      <c r="C421" s="18" t="s">
        <v>160</v>
      </c>
      <c r="D421" s="21">
        <v>67</v>
      </c>
      <c r="E421" s="22">
        <v>605</v>
      </c>
      <c r="F421" s="70">
        <f t="shared" si="30"/>
        <v>9.0298507462686572</v>
      </c>
    </row>
    <row r="422" spans="1:6" ht="15.6" x14ac:dyDescent="0.3">
      <c r="A422" s="1">
        <f t="shared" si="31"/>
        <v>23</v>
      </c>
      <c r="B422" s="17" t="s">
        <v>65</v>
      </c>
      <c r="C422" s="18" t="s">
        <v>50</v>
      </c>
      <c r="D422" s="21">
        <v>104</v>
      </c>
      <c r="E422" s="22">
        <v>937</v>
      </c>
      <c r="F422" s="70">
        <f t="shared" si="30"/>
        <v>9.009615384615385</v>
      </c>
    </row>
    <row r="423" spans="1:6" ht="15.6" x14ac:dyDescent="0.3">
      <c r="A423" s="1">
        <f t="shared" si="31"/>
        <v>24</v>
      </c>
      <c r="B423" s="26" t="s">
        <v>47</v>
      </c>
      <c r="C423" s="25" t="s">
        <v>48</v>
      </c>
      <c r="D423" s="21">
        <v>167</v>
      </c>
      <c r="E423" s="22">
        <v>1446</v>
      </c>
      <c r="F423" s="70">
        <f t="shared" si="30"/>
        <v>8.658682634730539</v>
      </c>
    </row>
    <row r="424" spans="1:6" ht="15.6" x14ac:dyDescent="0.3">
      <c r="A424" s="1">
        <f t="shared" si="31"/>
        <v>25</v>
      </c>
      <c r="B424" s="17" t="s">
        <v>147</v>
      </c>
      <c r="C424" s="18" t="s">
        <v>148</v>
      </c>
      <c r="D424" s="21">
        <v>5</v>
      </c>
      <c r="E424" s="22">
        <v>42</v>
      </c>
      <c r="F424" s="70">
        <f t="shared" si="30"/>
        <v>8.4</v>
      </c>
    </row>
    <row r="425" spans="1:6" ht="15.6" x14ac:dyDescent="0.3">
      <c r="A425" s="1">
        <f t="shared" si="31"/>
        <v>26</v>
      </c>
      <c r="B425" s="17" t="s">
        <v>18</v>
      </c>
      <c r="C425" s="18" t="s">
        <v>19</v>
      </c>
      <c r="D425" s="21">
        <v>51</v>
      </c>
      <c r="E425" s="22">
        <v>421</v>
      </c>
      <c r="F425" s="70">
        <f t="shared" si="30"/>
        <v>8.2549019607843146</v>
      </c>
    </row>
    <row r="426" spans="1:6" ht="15.6" x14ac:dyDescent="0.3">
      <c r="A426" s="1">
        <f t="shared" si="31"/>
        <v>27</v>
      </c>
      <c r="B426" s="17" t="s">
        <v>185</v>
      </c>
      <c r="C426" s="18" t="s">
        <v>186</v>
      </c>
      <c r="D426" s="21">
        <v>179</v>
      </c>
      <c r="E426" s="22">
        <v>1465</v>
      </c>
      <c r="F426" s="70">
        <f t="shared" si="30"/>
        <v>8.1843575418994412</v>
      </c>
    </row>
    <row r="427" spans="1:6" ht="15.6" x14ac:dyDescent="0.3">
      <c r="A427" s="1">
        <f t="shared" si="31"/>
        <v>28</v>
      </c>
      <c r="B427" s="17" t="s">
        <v>102</v>
      </c>
      <c r="C427" s="18" t="s">
        <v>103</v>
      </c>
      <c r="D427" s="21">
        <v>23</v>
      </c>
      <c r="E427" s="22">
        <v>185</v>
      </c>
      <c r="F427" s="70">
        <f t="shared" si="30"/>
        <v>8.0434782608695645</v>
      </c>
    </row>
    <row r="428" spans="1:6" ht="15.6" x14ac:dyDescent="0.3">
      <c r="A428" s="1">
        <f t="shared" si="31"/>
        <v>29</v>
      </c>
      <c r="B428" s="17" t="s">
        <v>80</v>
      </c>
      <c r="C428" s="18" t="s">
        <v>81</v>
      </c>
      <c r="D428" s="21">
        <v>42</v>
      </c>
      <c r="E428" s="22">
        <v>327</v>
      </c>
      <c r="F428" s="70">
        <f t="shared" si="30"/>
        <v>7.7857142857142856</v>
      </c>
    </row>
    <row r="429" spans="1:6" ht="15.6" x14ac:dyDescent="0.3">
      <c r="A429" s="1">
        <f t="shared" si="31"/>
        <v>30</v>
      </c>
      <c r="B429" s="17" t="s">
        <v>211</v>
      </c>
      <c r="C429" s="18" t="s">
        <v>38</v>
      </c>
      <c r="D429" s="21">
        <v>72</v>
      </c>
      <c r="E429" s="22">
        <v>560</v>
      </c>
      <c r="F429" s="70">
        <f t="shared" si="30"/>
        <v>7.7777777777777777</v>
      </c>
    </row>
    <row r="430" spans="1:6" ht="15.6" x14ac:dyDescent="0.3">
      <c r="A430" s="1">
        <f t="shared" si="31"/>
        <v>31</v>
      </c>
      <c r="B430" s="17" t="s">
        <v>118</v>
      </c>
      <c r="C430" s="18" t="s">
        <v>64</v>
      </c>
      <c r="D430" s="21">
        <v>60</v>
      </c>
      <c r="E430" s="22">
        <v>466</v>
      </c>
      <c r="F430" s="70">
        <f t="shared" si="30"/>
        <v>7.7666666666666666</v>
      </c>
    </row>
    <row r="431" spans="1:6" ht="15.6" x14ac:dyDescent="0.3">
      <c r="A431" s="1">
        <f t="shared" si="31"/>
        <v>32</v>
      </c>
      <c r="B431" s="26" t="s">
        <v>126</v>
      </c>
      <c r="C431" s="25" t="s">
        <v>127</v>
      </c>
      <c r="D431" s="21">
        <v>67</v>
      </c>
      <c r="E431" s="22">
        <v>511</v>
      </c>
      <c r="F431" s="70">
        <f t="shared" si="30"/>
        <v>7.6268656716417906</v>
      </c>
    </row>
    <row r="432" spans="1:6" ht="15.6" x14ac:dyDescent="0.3">
      <c r="A432" s="1">
        <f t="shared" si="31"/>
        <v>33</v>
      </c>
      <c r="B432" s="17" t="s">
        <v>93</v>
      </c>
      <c r="C432" s="18" t="s">
        <v>94</v>
      </c>
      <c r="D432" s="21">
        <v>20</v>
      </c>
      <c r="E432" s="22">
        <v>151</v>
      </c>
      <c r="F432" s="70">
        <f t="shared" si="30"/>
        <v>7.55</v>
      </c>
    </row>
    <row r="433" spans="1:6" ht="15.6" x14ac:dyDescent="0.3">
      <c r="A433" s="1">
        <f t="shared" si="31"/>
        <v>34</v>
      </c>
      <c r="B433" s="17" t="s">
        <v>202</v>
      </c>
      <c r="C433" s="18" t="s">
        <v>201</v>
      </c>
      <c r="D433" s="21">
        <v>57</v>
      </c>
      <c r="E433" s="22">
        <v>425</v>
      </c>
      <c r="F433" s="70">
        <f t="shared" si="30"/>
        <v>7.4561403508771926</v>
      </c>
    </row>
    <row r="434" spans="1:6" ht="15.6" x14ac:dyDescent="0.3">
      <c r="A434" s="1">
        <f t="shared" si="31"/>
        <v>35</v>
      </c>
      <c r="B434" s="17" t="s">
        <v>199</v>
      </c>
      <c r="C434" s="18" t="s">
        <v>106</v>
      </c>
      <c r="D434" s="21">
        <v>155</v>
      </c>
      <c r="E434" s="22">
        <v>1131</v>
      </c>
      <c r="F434" s="70">
        <f t="shared" si="30"/>
        <v>7.2967741935483872</v>
      </c>
    </row>
    <row r="435" spans="1:6" ht="15.6" x14ac:dyDescent="0.3">
      <c r="A435" s="1">
        <f t="shared" si="31"/>
        <v>36</v>
      </c>
      <c r="B435" s="17" t="s">
        <v>120</v>
      </c>
      <c r="C435" s="18" t="s">
        <v>33</v>
      </c>
      <c r="D435" s="21">
        <v>100</v>
      </c>
      <c r="E435" s="22">
        <v>722</v>
      </c>
      <c r="F435" s="70">
        <f t="shared" si="30"/>
        <v>7.22</v>
      </c>
    </row>
    <row r="436" spans="1:6" ht="15.6" x14ac:dyDescent="0.3">
      <c r="A436" s="1">
        <f t="shared" si="31"/>
        <v>37</v>
      </c>
      <c r="B436" s="17" t="s">
        <v>216</v>
      </c>
      <c r="C436" s="18" t="s">
        <v>42</v>
      </c>
      <c r="D436" s="21">
        <v>57</v>
      </c>
      <c r="E436" s="22">
        <v>411</v>
      </c>
      <c r="F436" s="70">
        <f t="shared" si="30"/>
        <v>7.2105263157894735</v>
      </c>
    </row>
    <row r="437" spans="1:6" ht="15.6" x14ac:dyDescent="0.3">
      <c r="A437" s="1">
        <f t="shared" si="31"/>
        <v>38</v>
      </c>
      <c r="B437" s="17" t="s">
        <v>77</v>
      </c>
      <c r="C437" s="18" t="s">
        <v>217</v>
      </c>
      <c r="D437" s="21">
        <v>6</v>
      </c>
      <c r="E437" s="22">
        <v>43</v>
      </c>
      <c r="F437" s="70">
        <f t="shared" si="30"/>
        <v>7.166666666666667</v>
      </c>
    </row>
    <row r="438" spans="1:6" ht="15.6" x14ac:dyDescent="0.3">
      <c r="A438" s="1">
        <f t="shared" si="31"/>
        <v>39</v>
      </c>
      <c r="B438" s="17" t="s">
        <v>132</v>
      </c>
      <c r="C438" s="18" t="s">
        <v>44</v>
      </c>
      <c r="D438" s="21">
        <v>82</v>
      </c>
      <c r="E438" s="22">
        <v>583</v>
      </c>
      <c r="F438" s="70">
        <f t="shared" si="30"/>
        <v>7.1097560975609753</v>
      </c>
    </row>
    <row r="439" spans="1:6" ht="15.6" x14ac:dyDescent="0.3">
      <c r="A439" s="1">
        <f t="shared" si="31"/>
        <v>40</v>
      </c>
      <c r="B439" s="17" t="s">
        <v>137</v>
      </c>
      <c r="C439" s="18" t="s">
        <v>139</v>
      </c>
      <c r="D439" s="21">
        <v>2</v>
      </c>
      <c r="E439" s="22">
        <v>14</v>
      </c>
      <c r="F439" s="70">
        <f t="shared" si="30"/>
        <v>7</v>
      </c>
    </row>
    <row r="440" spans="1:6" ht="15.6" x14ac:dyDescent="0.3">
      <c r="A440" s="1">
        <f t="shared" si="31"/>
        <v>41</v>
      </c>
      <c r="B440" s="26" t="s">
        <v>169</v>
      </c>
      <c r="C440" s="25" t="s">
        <v>170</v>
      </c>
      <c r="D440" s="21">
        <v>32</v>
      </c>
      <c r="E440" s="22">
        <v>224</v>
      </c>
      <c r="F440" s="70">
        <f t="shared" si="30"/>
        <v>7</v>
      </c>
    </row>
    <row r="441" spans="1:6" ht="15.6" x14ac:dyDescent="0.3">
      <c r="A441" s="1">
        <f t="shared" si="31"/>
        <v>42</v>
      </c>
      <c r="B441" s="17" t="s">
        <v>192</v>
      </c>
      <c r="C441" s="18" t="s">
        <v>193</v>
      </c>
      <c r="D441" s="21">
        <v>18</v>
      </c>
      <c r="E441" s="22">
        <v>126</v>
      </c>
      <c r="F441" s="70">
        <f t="shared" si="30"/>
        <v>7</v>
      </c>
    </row>
    <row r="442" spans="1:6" ht="15.6" x14ac:dyDescent="0.3">
      <c r="A442" s="1">
        <f t="shared" si="31"/>
        <v>43</v>
      </c>
      <c r="B442" s="17" t="s">
        <v>68</v>
      </c>
      <c r="C442" s="18" t="s">
        <v>60</v>
      </c>
      <c r="D442" s="21">
        <v>108</v>
      </c>
      <c r="E442" s="22">
        <v>738</v>
      </c>
      <c r="F442" s="70">
        <f t="shared" si="30"/>
        <v>6.833333333333333</v>
      </c>
    </row>
    <row r="443" spans="1:6" ht="15.6" x14ac:dyDescent="0.3">
      <c r="A443" s="1">
        <f t="shared" si="31"/>
        <v>44</v>
      </c>
      <c r="B443" s="17" t="s">
        <v>96</v>
      </c>
      <c r="C443" s="18" t="s">
        <v>97</v>
      </c>
      <c r="D443" s="21">
        <v>40</v>
      </c>
      <c r="E443" s="22">
        <v>271</v>
      </c>
      <c r="F443" s="70">
        <f t="shared" si="30"/>
        <v>6.7750000000000004</v>
      </c>
    </row>
    <row r="444" spans="1:6" ht="15.6" x14ac:dyDescent="0.3">
      <c r="A444" s="1">
        <f t="shared" si="31"/>
        <v>45</v>
      </c>
      <c r="B444" s="26" t="s">
        <v>115</v>
      </c>
      <c r="C444" s="25" t="s">
        <v>116</v>
      </c>
      <c r="D444" s="21">
        <v>100</v>
      </c>
      <c r="E444" s="22">
        <v>676</v>
      </c>
      <c r="F444" s="70">
        <f t="shared" si="30"/>
        <v>6.76</v>
      </c>
    </row>
    <row r="445" spans="1:6" ht="15.6" x14ac:dyDescent="0.3">
      <c r="A445" s="1">
        <f t="shared" si="31"/>
        <v>46</v>
      </c>
      <c r="B445" s="17" t="s">
        <v>124</v>
      </c>
      <c r="C445" s="18" t="s">
        <v>125</v>
      </c>
      <c r="D445" s="21">
        <v>58</v>
      </c>
      <c r="E445" s="22">
        <v>368</v>
      </c>
      <c r="F445" s="70">
        <f t="shared" si="30"/>
        <v>6.3448275862068968</v>
      </c>
    </row>
    <row r="446" spans="1:6" ht="15.6" x14ac:dyDescent="0.3">
      <c r="A446" s="1">
        <f t="shared" si="31"/>
        <v>47</v>
      </c>
      <c r="B446" s="17" t="s">
        <v>197</v>
      </c>
      <c r="C446" s="18" t="s">
        <v>142</v>
      </c>
      <c r="D446" s="21">
        <v>107</v>
      </c>
      <c r="E446" s="22">
        <v>667</v>
      </c>
      <c r="F446" s="70">
        <f t="shared" si="30"/>
        <v>6.2336448598130838</v>
      </c>
    </row>
    <row r="447" spans="1:6" ht="15.6" x14ac:dyDescent="0.3">
      <c r="A447" s="1">
        <f t="shared" si="31"/>
        <v>48</v>
      </c>
      <c r="B447" s="17" t="s">
        <v>209</v>
      </c>
      <c r="C447" s="18" t="s">
        <v>210</v>
      </c>
      <c r="D447" s="21">
        <v>16</v>
      </c>
      <c r="E447" s="22">
        <v>98</v>
      </c>
      <c r="F447" s="70">
        <f t="shared" si="30"/>
        <v>6.125</v>
      </c>
    </row>
    <row r="448" spans="1:6" ht="15.6" x14ac:dyDescent="0.3">
      <c r="A448" s="1">
        <f t="shared" si="31"/>
        <v>49</v>
      </c>
      <c r="B448" s="17" t="s">
        <v>85</v>
      </c>
      <c r="C448" s="18" t="s">
        <v>86</v>
      </c>
      <c r="D448" s="21">
        <v>21</v>
      </c>
      <c r="E448" s="22">
        <v>127</v>
      </c>
      <c r="F448" s="70">
        <f t="shared" si="30"/>
        <v>6.0476190476190474</v>
      </c>
    </row>
    <row r="449" spans="1:6" ht="15.6" x14ac:dyDescent="0.3">
      <c r="A449" s="1">
        <f t="shared" si="31"/>
        <v>50</v>
      </c>
      <c r="B449" s="17" t="s">
        <v>175</v>
      </c>
      <c r="C449" s="18" t="s">
        <v>50</v>
      </c>
      <c r="D449" s="21">
        <v>62</v>
      </c>
      <c r="E449" s="22">
        <v>368</v>
      </c>
      <c r="F449" s="70">
        <f t="shared" si="30"/>
        <v>5.935483870967742</v>
      </c>
    </row>
    <row r="450" spans="1:6" ht="15.6" x14ac:dyDescent="0.3">
      <c r="A450" s="1">
        <f t="shared" si="31"/>
        <v>51</v>
      </c>
      <c r="B450" s="17" t="s">
        <v>155</v>
      </c>
      <c r="C450" s="18" t="s">
        <v>156</v>
      </c>
      <c r="D450" s="21">
        <v>94</v>
      </c>
      <c r="E450" s="22">
        <v>549</v>
      </c>
      <c r="F450" s="70">
        <f t="shared" si="30"/>
        <v>5.8404255319148932</v>
      </c>
    </row>
    <row r="451" spans="1:6" ht="15.6" x14ac:dyDescent="0.3">
      <c r="A451" s="1">
        <f t="shared" si="31"/>
        <v>52</v>
      </c>
      <c r="B451" s="26" t="s">
        <v>169</v>
      </c>
      <c r="C451" s="25" t="s">
        <v>171</v>
      </c>
      <c r="D451" s="21">
        <v>66</v>
      </c>
      <c r="E451" s="22">
        <v>379</v>
      </c>
      <c r="F451" s="70">
        <f t="shared" si="30"/>
        <v>5.7424242424242422</v>
      </c>
    </row>
    <row r="452" spans="1:6" ht="15.6" x14ac:dyDescent="0.3">
      <c r="A452" s="1">
        <f t="shared" si="31"/>
        <v>53</v>
      </c>
      <c r="B452" s="17" t="s">
        <v>190</v>
      </c>
      <c r="C452" s="18" t="s">
        <v>186</v>
      </c>
      <c r="D452" s="21">
        <v>41</v>
      </c>
      <c r="E452" s="22">
        <v>230</v>
      </c>
      <c r="F452" s="70">
        <f t="shared" si="30"/>
        <v>5.6097560975609753</v>
      </c>
    </row>
    <row r="453" spans="1:6" ht="15.6" x14ac:dyDescent="0.3">
      <c r="A453" s="1">
        <f t="shared" si="31"/>
        <v>54</v>
      </c>
      <c r="B453" s="17" t="s">
        <v>180</v>
      </c>
      <c r="C453" s="18" t="s">
        <v>181</v>
      </c>
      <c r="D453" s="21">
        <v>111</v>
      </c>
      <c r="E453" s="22">
        <v>614</v>
      </c>
      <c r="F453" s="70">
        <f t="shared" si="30"/>
        <v>5.5315315315315319</v>
      </c>
    </row>
    <row r="454" spans="1:6" ht="15.6" x14ac:dyDescent="0.3">
      <c r="A454" s="1">
        <f t="shared" si="31"/>
        <v>55</v>
      </c>
      <c r="B454" s="17" t="s">
        <v>39</v>
      </c>
      <c r="C454" s="18" t="s">
        <v>40</v>
      </c>
      <c r="D454" s="21">
        <v>2</v>
      </c>
      <c r="E454" s="22">
        <v>11</v>
      </c>
      <c r="F454" s="70">
        <f t="shared" si="30"/>
        <v>5.5</v>
      </c>
    </row>
    <row r="455" spans="1:6" ht="15.6" x14ac:dyDescent="0.3">
      <c r="A455" s="1">
        <f t="shared" si="31"/>
        <v>56</v>
      </c>
      <c r="B455" s="17" t="s">
        <v>111</v>
      </c>
      <c r="C455" s="18" t="s">
        <v>112</v>
      </c>
      <c r="D455" s="21">
        <v>2</v>
      </c>
      <c r="E455" s="22">
        <v>11</v>
      </c>
      <c r="F455" s="70">
        <f t="shared" si="30"/>
        <v>5.5</v>
      </c>
    </row>
    <row r="456" spans="1:6" ht="15.6" x14ac:dyDescent="0.3">
      <c r="A456" s="1">
        <f t="shared" si="31"/>
        <v>57</v>
      </c>
      <c r="B456" s="17" t="s">
        <v>122</v>
      </c>
      <c r="C456" s="18" t="s">
        <v>123</v>
      </c>
      <c r="D456" s="21">
        <v>20</v>
      </c>
      <c r="E456" s="22">
        <v>109</v>
      </c>
      <c r="F456" s="70">
        <f t="shared" si="30"/>
        <v>5.45</v>
      </c>
    </row>
    <row r="457" spans="1:6" ht="15.6" x14ac:dyDescent="0.3">
      <c r="A457" s="1">
        <f t="shared" si="31"/>
        <v>58</v>
      </c>
      <c r="B457" s="17" t="s">
        <v>105</v>
      </c>
      <c r="C457" s="18" t="s">
        <v>106</v>
      </c>
      <c r="D457" s="21">
        <v>50</v>
      </c>
      <c r="E457" s="22">
        <v>272</v>
      </c>
      <c r="F457" s="70">
        <f t="shared" si="30"/>
        <v>5.44</v>
      </c>
    </row>
    <row r="458" spans="1:6" ht="15.6" x14ac:dyDescent="0.3">
      <c r="A458" s="1">
        <f t="shared" si="31"/>
        <v>59</v>
      </c>
      <c r="B458" s="17" t="s">
        <v>28</v>
      </c>
      <c r="C458" s="18" t="s">
        <v>29</v>
      </c>
      <c r="D458" s="21">
        <v>70</v>
      </c>
      <c r="E458" s="22">
        <v>374</v>
      </c>
      <c r="F458" s="70">
        <f t="shared" si="30"/>
        <v>5.3428571428571425</v>
      </c>
    </row>
    <row r="459" spans="1:6" ht="15.6" x14ac:dyDescent="0.3">
      <c r="A459" s="1">
        <f t="shared" si="31"/>
        <v>60</v>
      </c>
      <c r="B459" s="17" t="s">
        <v>128</v>
      </c>
      <c r="C459" s="18" t="s">
        <v>64</v>
      </c>
      <c r="D459" s="21">
        <v>9</v>
      </c>
      <c r="E459" s="22">
        <v>48</v>
      </c>
      <c r="F459" s="70">
        <f t="shared" si="30"/>
        <v>5.333333333333333</v>
      </c>
    </row>
    <row r="460" spans="1:6" ht="15.6" x14ac:dyDescent="0.3">
      <c r="A460" s="1">
        <v>61</v>
      </c>
      <c r="B460" s="17" t="s">
        <v>198</v>
      </c>
      <c r="C460" s="18" t="s">
        <v>70</v>
      </c>
      <c r="D460" s="21">
        <v>22</v>
      </c>
      <c r="E460" s="22">
        <v>116</v>
      </c>
      <c r="F460" s="70">
        <f t="shared" si="30"/>
        <v>5.2727272727272725</v>
      </c>
    </row>
    <row r="461" spans="1:6" ht="15.6" x14ac:dyDescent="0.3">
      <c r="A461" s="1">
        <v>62</v>
      </c>
      <c r="B461" s="17" t="s">
        <v>143</v>
      </c>
      <c r="C461" s="18" t="s">
        <v>144</v>
      </c>
      <c r="D461" s="21">
        <v>48</v>
      </c>
      <c r="E461" s="22">
        <v>249</v>
      </c>
      <c r="F461" s="70">
        <f t="shared" si="30"/>
        <v>5.1875</v>
      </c>
    </row>
    <row r="462" spans="1:6" ht="15.6" x14ac:dyDescent="0.3">
      <c r="A462" s="1">
        <f t="shared" si="31"/>
        <v>63</v>
      </c>
      <c r="B462" s="17" t="s">
        <v>119</v>
      </c>
      <c r="C462" s="18" t="s">
        <v>70</v>
      </c>
      <c r="D462" s="21">
        <v>55</v>
      </c>
      <c r="E462" s="22">
        <v>283</v>
      </c>
      <c r="F462" s="70">
        <f t="shared" si="30"/>
        <v>5.1454545454545455</v>
      </c>
    </row>
    <row r="463" spans="1:6" ht="15.6" x14ac:dyDescent="0.3">
      <c r="A463" s="1">
        <f t="shared" si="31"/>
        <v>64</v>
      </c>
      <c r="B463" s="17" t="s">
        <v>131</v>
      </c>
      <c r="C463" s="18" t="s">
        <v>70</v>
      </c>
      <c r="D463" s="21">
        <v>73</v>
      </c>
      <c r="E463" s="22">
        <v>373</v>
      </c>
      <c r="F463" s="70">
        <f t="shared" si="30"/>
        <v>5.1095890410958908</v>
      </c>
    </row>
    <row r="464" spans="1:6" ht="15.6" x14ac:dyDescent="0.3">
      <c r="A464" s="1">
        <f t="shared" si="31"/>
        <v>65</v>
      </c>
      <c r="B464" s="17" t="s">
        <v>87</v>
      </c>
      <c r="C464" s="18" t="s">
        <v>88</v>
      </c>
      <c r="D464" s="21">
        <v>4</v>
      </c>
      <c r="E464" s="22">
        <v>20</v>
      </c>
      <c r="F464" s="70">
        <f t="shared" ref="F464:F526" si="32">E464/D464</f>
        <v>5</v>
      </c>
    </row>
    <row r="465" spans="1:6" ht="15.6" x14ac:dyDescent="0.3">
      <c r="A465" s="1">
        <f t="shared" si="31"/>
        <v>66</v>
      </c>
      <c r="B465" s="26" t="s">
        <v>102</v>
      </c>
      <c r="C465" s="25" t="s">
        <v>104</v>
      </c>
      <c r="D465" s="21">
        <v>18</v>
      </c>
      <c r="E465" s="22">
        <v>88</v>
      </c>
      <c r="F465" s="70">
        <f t="shared" si="32"/>
        <v>4.8888888888888893</v>
      </c>
    </row>
    <row r="466" spans="1:6" ht="15.6" x14ac:dyDescent="0.3">
      <c r="A466" s="1">
        <f t="shared" ref="A466:A526" si="33">A465+1</f>
        <v>67</v>
      </c>
      <c r="B466" s="17" t="s">
        <v>91</v>
      </c>
      <c r="C466" s="18" t="s">
        <v>92</v>
      </c>
      <c r="D466" s="21">
        <v>31</v>
      </c>
      <c r="E466" s="22">
        <v>147</v>
      </c>
      <c r="F466" s="70">
        <f t="shared" si="32"/>
        <v>4.741935483870968</v>
      </c>
    </row>
    <row r="467" spans="1:6" ht="15.6" x14ac:dyDescent="0.3">
      <c r="A467" s="1">
        <f t="shared" si="33"/>
        <v>68</v>
      </c>
      <c r="B467" s="17" t="s">
        <v>153</v>
      </c>
      <c r="C467" s="18" t="s">
        <v>50</v>
      </c>
      <c r="D467" s="21">
        <v>28</v>
      </c>
      <c r="E467" s="22">
        <v>130</v>
      </c>
      <c r="F467" s="70">
        <f t="shared" si="32"/>
        <v>4.6428571428571432</v>
      </c>
    </row>
    <row r="468" spans="1:6" ht="15.6" x14ac:dyDescent="0.3">
      <c r="A468" s="1">
        <f t="shared" si="33"/>
        <v>69</v>
      </c>
      <c r="B468" s="17" t="s">
        <v>45</v>
      </c>
      <c r="C468" s="18" t="s">
        <v>46</v>
      </c>
      <c r="D468" s="21">
        <v>6</v>
      </c>
      <c r="E468" s="22">
        <v>27</v>
      </c>
      <c r="F468" s="70">
        <f t="shared" si="32"/>
        <v>4.5</v>
      </c>
    </row>
    <row r="469" spans="1:6" ht="15.6" x14ac:dyDescent="0.3">
      <c r="A469" s="1">
        <f t="shared" si="33"/>
        <v>70</v>
      </c>
      <c r="B469" s="17" t="s">
        <v>30</v>
      </c>
      <c r="C469" s="18" t="s">
        <v>31</v>
      </c>
      <c r="D469" s="21">
        <v>83</v>
      </c>
      <c r="E469" s="22">
        <v>364</v>
      </c>
      <c r="F469" s="70">
        <f t="shared" si="32"/>
        <v>4.3855421686746991</v>
      </c>
    </row>
    <row r="470" spans="1:6" ht="15.6" x14ac:dyDescent="0.3">
      <c r="A470" s="1">
        <f t="shared" si="33"/>
        <v>71</v>
      </c>
      <c r="B470" s="17" t="s">
        <v>95</v>
      </c>
      <c r="C470" s="18" t="s">
        <v>86</v>
      </c>
      <c r="D470" s="21">
        <v>8</v>
      </c>
      <c r="E470" s="22">
        <v>35</v>
      </c>
      <c r="F470" s="70">
        <f t="shared" si="32"/>
        <v>4.375</v>
      </c>
    </row>
    <row r="471" spans="1:6" ht="15.6" x14ac:dyDescent="0.3">
      <c r="A471" s="1">
        <f t="shared" si="33"/>
        <v>72</v>
      </c>
      <c r="B471" s="26" t="s">
        <v>200</v>
      </c>
      <c r="C471" s="25" t="s">
        <v>201</v>
      </c>
      <c r="D471" s="21">
        <v>11</v>
      </c>
      <c r="E471" s="22">
        <v>48</v>
      </c>
      <c r="F471" s="70">
        <f t="shared" si="32"/>
        <v>4.3636363636363633</v>
      </c>
    </row>
    <row r="472" spans="1:6" ht="15.6" x14ac:dyDescent="0.3">
      <c r="A472" s="1">
        <f t="shared" si="33"/>
        <v>73</v>
      </c>
      <c r="B472" s="17" t="s">
        <v>43</v>
      </c>
      <c r="C472" s="18" t="s">
        <v>44</v>
      </c>
      <c r="D472" s="21">
        <v>38</v>
      </c>
      <c r="E472" s="22">
        <v>165</v>
      </c>
      <c r="F472" s="70">
        <f t="shared" si="32"/>
        <v>4.3421052631578947</v>
      </c>
    </row>
    <row r="473" spans="1:6" ht="15.6" x14ac:dyDescent="0.3">
      <c r="A473" s="1">
        <f t="shared" si="33"/>
        <v>74</v>
      </c>
      <c r="B473" s="17" t="s">
        <v>49</v>
      </c>
      <c r="C473" s="18" t="s">
        <v>50</v>
      </c>
      <c r="D473" s="21">
        <v>8</v>
      </c>
      <c r="E473" s="22">
        <v>34</v>
      </c>
      <c r="F473" s="70">
        <f t="shared" si="32"/>
        <v>4.25</v>
      </c>
    </row>
    <row r="474" spans="1:6" ht="15.6" x14ac:dyDescent="0.3">
      <c r="A474" s="1">
        <f t="shared" si="33"/>
        <v>75</v>
      </c>
      <c r="B474" s="17" t="s">
        <v>117</v>
      </c>
      <c r="C474" s="18" t="s">
        <v>44</v>
      </c>
      <c r="D474" s="21">
        <v>76</v>
      </c>
      <c r="E474" s="22">
        <v>320</v>
      </c>
      <c r="F474" s="70">
        <f t="shared" si="32"/>
        <v>4.2105263157894735</v>
      </c>
    </row>
    <row r="475" spans="1:6" ht="15.6" x14ac:dyDescent="0.3">
      <c r="A475" s="1">
        <f t="shared" si="33"/>
        <v>76</v>
      </c>
      <c r="B475" s="17" t="s">
        <v>113</v>
      </c>
      <c r="C475" s="18" t="s">
        <v>81</v>
      </c>
      <c r="D475" s="21">
        <v>11</v>
      </c>
      <c r="E475" s="22">
        <v>46</v>
      </c>
      <c r="F475" s="70">
        <f t="shared" si="32"/>
        <v>4.1818181818181817</v>
      </c>
    </row>
    <row r="476" spans="1:6" ht="15.6" x14ac:dyDescent="0.3">
      <c r="A476" s="1">
        <f t="shared" si="33"/>
        <v>77</v>
      </c>
      <c r="B476" s="17" t="s">
        <v>73</v>
      </c>
      <c r="C476" s="18" t="s">
        <v>74</v>
      </c>
      <c r="D476" s="21">
        <v>7</v>
      </c>
      <c r="E476" s="22">
        <v>29</v>
      </c>
      <c r="F476" s="70">
        <f t="shared" si="32"/>
        <v>4.1428571428571432</v>
      </c>
    </row>
    <row r="477" spans="1:6" ht="15.6" x14ac:dyDescent="0.3">
      <c r="A477" s="1">
        <f t="shared" si="33"/>
        <v>78</v>
      </c>
      <c r="B477" s="17" t="s">
        <v>203</v>
      </c>
      <c r="C477" s="18" t="s">
        <v>204</v>
      </c>
      <c r="D477" s="21">
        <v>3</v>
      </c>
      <c r="E477" s="22">
        <v>12</v>
      </c>
      <c r="F477" s="70">
        <f t="shared" si="32"/>
        <v>4</v>
      </c>
    </row>
    <row r="478" spans="1:6" ht="15.6" x14ac:dyDescent="0.3">
      <c r="A478" s="1">
        <f t="shared" si="33"/>
        <v>79</v>
      </c>
      <c r="B478" s="17" t="s">
        <v>130</v>
      </c>
      <c r="C478" s="18" t="s">
        <v>106</v>
      </c>
      <c r="D478" s="21">
        <v>43</v>
      </c>
      <c r="E478" s="22">
        <v>164</v>
      </c>
      <c r="F478" s="70">
        <f t="shared" si="32"/>
        <v>3.8139534883720931</v>
      </c>
    </row>
    <row r="479" spans="1:6" ht="15.6" x14ac:dyDescent="0.3">
      <c r="A479" s="1">
        <f t="shared" si="33"/>
        <v>80</v>
      </c>
      <c r="B479" s="17" t="s">
        <v>34</v>
      </c>
      <c r="C479" s="18" t="s">
        <v>35</v>
      </c>
      <c r="D479" s="21">
        <v>21</v>
      </c>
      <c r="E479" s="22">
        <v>78</v>
      </c>
      <c r="F479" s="70">
        <f t="shared" si="32"/>
        <v>3.7142857142857144</v>
      </c>
    </row>
    <row r="480" spans="1:6" ht="15.6" x14ac:dyDescent="0.3">
      <c r="A480" s="1">
        <f t="shared" si="33"/>
        <v>81</v>
      </c>
      <c r="B480" s="17" t="s">
        <v>69</v>
      </c>
      <c r="C480" s="18" t="s">
        <v>70</v>
      </c>
      <c r="D480" s="21">
        <v>10</v>
      </c>
      <c r="E480" s="22">
        <v>37</v>
      </c>
      <c r="F480" s="70">
        <f t="shared" si="32"/>
        <v>3.7</v>
      </c>
    </row>
    <row r="481" spans="1:6" ht="15.6" x14ac:dyDescent="0.3">
      <c r="A481" s="1">
        <f t="shared" si="33"/>
        <v>82</v>
      </c>
      <c r="B481" s="26" t="s">
        <v>140</v>
      </c>
      <c r="C481" s="25" t="s">
        <v>50</v>
      </c>
      <c r="D481" s="21">
        <v>10</v>
      </c>
      <c r="E481" s="22">
        <v>37</v>
      </c>
      <c r="F481" s="70">
        <f t="shared" si="32"/>
        <v>3.7</v>
      </c>
    </row>
    <row r="482" spans="1:6" ht="15.6" x14ac:dyDescent="0.3">
      <c r="A482" s="1">
        <f t="shared" si="33"/>
        <v>83</v>
      </c>
      <c r="B482" s="17" t="s">
        <v>136</v>
      </c>
      <c r="C482" s="18" t="s">
        <v>106</v>
      </c>
      <c r="D482" s="21">
        <v>14</v>
      </c>
      <c r="E482" s="22">
        <v>51</v>
      </c>
      <c r="F482" s="70">
        <f t="shared" si="32"/>
        <v>3.6428571428571428</v>
      </c>
    </row>
    <row r="483" spans="1:6" ht="15.6" x14ac:dyDescent="0.3">
      <c r="A483" s="1">
        <f t="shared" si="33"/>
        <v>84</v>
      </c>
      <c r="B483" s="17" t="s">
        <v>179</v>
      </c>
      <c r="C483" s="18" t="s">
        <v>142</v>
      </c>
      <c r="D483" s="21">
        <v>36</v>
      </c>
      <c r="E483" s="22">
        <v>124</v>
      </c>
      <c r="F483" s="70">
        <f t="shared" si="32"/>
        <v>3.4444444444444446</v>
      </c>
    </row>
    <row r="484" spans="1:6" ht="15.6" x14ac:dyDescent="0.3">
      <c r="A484" s="1">
        <f t="shared" si="33"/>
        <v>85</v>
      </c>
      <c r="B484" s="26" t="s">
        <v>71</v>
      </c>
      <c r="C484" s="25" t="s">
        <v>72</v>
      </c>
      <c r="D484" s="21">
        <v>75</v>
      </c>
      <c r="E484" s="22">
        <v>245</v>
      </c>
      <c r="F484" s="70">
        <f t="shared" si="32"/>
        <v>3.2666666666666666</v>
      </c>
    </row>
    <row r="485" spans="1:6" ht="15.6" x14ac:dyDescent="0.3">
      <c r="A485" s="1">
        <f t="shared" si="33"/>
        <v>86</v>
      </c>
      <c r="B485" s="17" t="s">
        <v>151</v>
      </c>
      <c r="C485" s="18" t="s">
        <v>152</v>
      </c>
      <c r="D485" s="21">
        <v>72</v>
      </c>
      <c r="E485" s="22">
        <v>233</v>
      </c>
      <c r="F485" s="70">
        <f t="shared" si="32"/>
        <v>3.2361111111111112</v>
      </c>
    </row>
    <row r="486" spans="1:6" ht="15.6" x14ac:dyDescent="0.3">
      <c r="A486" s="1">
        <f t="shared" si="33"/>
        <v>87</v>
      </c>
      <c r="B486" s="17" t="s">
        <v>20</v>
      </c>
      <c r="C486" s="18" t="s">
        <v>21</v>
      </c>
      <c r="D486" s="21">
        <v>56</v>
      </c>
      <c r="E486" s="22">
        <v>181</v>
      </c>
      <c r="F486" s="70">
        <f t="shared" si="32"/>
        <v>3.2321428571428572</v>
      </c>
    </row>
    <row r="487" spans="1:6" ht="15.6" x14ac:dyDescent="0.3">
      <c r="A487" s="1">
        <f t="shared" si="33"/>
        <v>88</v>
      </c>
      <c r="B487" s="17" t="s">
        <v>183</v>
      </c>
      <c r="C487" s="18" t="s">
        <v>184</v>
      </c>
      <c r="D487" s="21">
        <v>5</v>
      </c>
      <c r="E487" s="22">
        <v>16</v>
      </c>
      <c r="F487" s="70">
        <f t="shared" si="32"/>
        <v>3.2</v>
      </c>
    </row>
    <row r="488" spans="1:6" ht="15.6" x14ac:dyDescent="0.3">
      <c r="A488" s="1">
        <f t="shared" si="33"/>
        <v>89</v>
      </c>
      <c r="B488" s="26" t="s">
        <v>109</v>
      </c>
      <c r="C488" s="25" t="s">
        <v>27</v>
      </c>
      <c r="D488" s="21">
        <v>7</v>
      </c>
      <c r="E488" s="22">
        <v>22</v>
      </c>
      <c r="F488" s="70">
        <f t="shared" si="32"/>
        <v>3.1428571428571428</v>
      </c>
    </row>
    <row r="489" spans="1:6" ht="15.6" x14ac:dyDescent="0.3">
      <c r="A489" s="1">
        <f t="shared" si="33"/>
        <v>90</v>
      </c>
      <c r="B489" s="17" t="s">
        <v>159</v>
      </c>
      <c r="C489" s="18" t="s">
        <v>161</v>
      </c>
      <c r="D489" s="21">
        <v>27</v>
      </c>
      <c r="E489" s="22">
        <v>84</v>
      </c>
      <c r="F489" s="70">
        <f t="shared" si="32"/>
        <v>3.1111111111111112</v>
      </c>
    </row>
    <row r="490" spans="1:6" ht="15.6" x14ac:dyDescent="0.3">
      <c r="A490" s="1">
        <f t="shared" si="33"/>
        <v>91</v>
      </c>
      <c r="B490" s="17" t="s">
        <v>145</v>
      </c>
      <c r="C490" s="18" t="s">
        <v>146</v>
      </c>
      <c r="D490" s="21">
        <v>34</v>
      </c>
      <c r="E490" s="22">
        <v>105</v>
      </c>
      <c r="F490" s="70">
        <f t="shared" si="32"/>
        <v>3.0882352941176472</v>
      </c>
    </row>
    <row r="491" spans="1:6" ht="15.6" x14ac:dyDescent="0.3">
      <c r="A491" s="1">
        <f t="shared" si="33"/>
        <v>92</v>
      </c>
      <c r="B491" s="17" t="s">
        <v>214</v>
      </c>
      <c r="C491" s="18" t="s">
        <v>215</v>
      </c>
      <c r="D491" s="21">
        <v>9</v>
      </c>
      <c r="E491" s="22">
        <v>26</v>
      </c>
      <c r="F491" s="70">
        <f t="shared" si="32"/>
        <v>2.8888888888888888</v>
      </c>
    </row>
    <row r="492" spans="1:6" ht="15.6" x14ac:dyDescent="0.3">
      <c r="A492" s="1">
        <f t="shared" si="33"/>
        <v>93</v>
      </c>
      <c r="B492" s="26" t="s">
        <v>82</v>
      </c>
      <c r="C492" s="25" t="s">
        <v>83</v>
      </c>
      <c r="D492" s="21">
        <v>5</v>
      </c>
      <c r="E492" s="22">
        <v>14</v>
      </c>
      <c r="F492" s="70">
        <f t="shared" si="32"/>
        <v>2.8</v>
      </c>
    </row>
    <row r="493" spans="1:6" ht="15.6" x14ac:dyDescent="0.3">
      <c r="A493" s="1">
        <f t="shared" si="33"/>
        <v>94</v>
      </c>
      <c r="B493" s="17" t="s">
        <v>57</v>
      </c>
      <c r="C493" s="18" t="s">
        <v>58</v>
      </c>
      <c r="D493" s="21">
        <v>34</v>
      </c>
      <c r="E493" s="22">
        <v>95</v>
      </c>
      <c r="F493" s="70">
        <f t="shared" si="32"/>
        <v>2.7941176470588234</v>
      </c>
    </row>
    <row r="494" spans="1:6" ht="15.6" x14ac:dyDescent="0.3">
      <c r="A494" s="1">
        <f t="shared" si="33"/>
        <v>95</v>
      </c>
      <c r="B494" s="17" t="s">
        <v>75</v>
      </c>
      <c r="C494" s="18" t="s">
        <v>76</v>
      </c>
      <c r="D494" s="33">
        <v>30</v>
      </c>
      <c r="E494" s="34">
        <v>83</v>
      </c>
      <c r="F494" s="70">
        <f t="shared" si="32"/>
        <v>2.7666666666666666</v>
      </c>
    </row>
    <row r="495" spans="1:6" ht="15.6" x14ac:dyDescent="0.3">
      <c r="A495" s="1">
        <f t="shared" si="33"/>
        <v>96</v>
      </c>
      <c r="B495" s="17" t="s">
        <v>98</v>
      </c>
      <c r="C495" s="18" t="s">
        <v>99</v>
      </c>
      <c r="D495" s="33">
        <v>28</v>
      </c>
      <c r="E495" s="34">
        <v>77</v>
      </c>
      <c r="F495" s="70">
        <f t="shared" si="32"/>
        <v>2.75</v>
      </c>
    </row>
    <row r="496" spans="1:6" ht="15.6" x14ac:dyDescent="0.3">
      <c r="A496" s="1">
        <f t="shared" si="33"/>
        <v>97</v>
      </c>
      <c r="B496" s="17" t="s">
        <v>100</v>
      </c>
      <c r="C496" s="18" t="s">
        <v>99</v>
      </c>
      <c r="D496" s="33">
        <v>3</v>
      </c>
      <c r="E496" s="34">
        <v>8</v>
      </c>
      <c r="F496" s="70">
        <f t="shared" si="32"/>
        <v>2.6666666666666665</v>
      </c>
    </row>
    <row r="497" spans="1:6" ht="15.6" x14ac:dyDescent="0.3">
      <c r="A497" s="1">
        <f t="shared" si="33"/>
        <v>98</v>
      </c>
      <c r="B497" s="17" t="s">
        <v>162</v>
      </c>
      <c r="C497" s="18" t="s">
        <v>163</v>
      </c>
      <c r="D497" s="33">
        <v>6</v>
      </c>
      <c r="E497" s="34">
        <v>16</v>
      </c>
      <c r="F497" s="70">
        <f t="shared" si="32"/>
        <v>2.6666666666666665</v>
      </c>
    </row>
    <row r="498" spans="1:6" ht="15.6" x14ac:dyDescent="0.3">
      <c r="A498" s="1">
        <f t="shared" si="33"/>
        <v>99</v>
      </c>
      <c r="B498" s="26" t="s">
        <v>32</v>
      </c>
      <c r="C498" s="25" t="s">
        <v>33</v>
      </c>
      <c r="D498" s="33">
        <v>12</v>
      </c>
      <c r="E498" s="34">
        <v>30</v>
      </c>
      <c r="F498" s="70">
        <f t="shared" si="32"/>
        <v>2.5</v>
      </c>
    </row>
    <row r="499" spans="1:6" ht="15.6" x14ac:dyDescent="0.3">
      <c r="A499" s="1">
        <f t="shared" si="33"/>
        <v>100</v>
      </c>
      <c r="B499" s="17" t="s">
        <v>66</v>
      </c>
      <c r="C499" s="18" t="s">
        <v>67</v>
      </c>
      <c r="D499" s="33">
        <v>4</v>
      </c>
      <c r="E499" s="34">
        <v>10</v>
      </c>
      <c r="F499" s="70">
        <f t="shared" si="32"/>
        <v>2.5</v>
      </c>
    </row>
    <row r="500" spans="1:6" ht="15.6" x14ac:dyDescent="0.3">
      <c r="A500" s="1">
        <f t="shared" si="33"/>
        <v>101</v>
      </c>
      <c r="B500" s="17" t="s">
        <v>154</v>
      </c>
      <c r="C500" s="18" t="s">
        <v>29</v>
      </c>
      <c r="D500" s="33">
        <v>32</v>
      </c>
      <c r="E500" s="34">
        <v>80</v>
      </c>
      <c r="F500" s="70">
        <f t="shared" si="32"/>
        <v>2.5</v>
      </c>
    </row>
    <row r="501" spans="1:6" ht="15.6" x14ac:dyDescent="0.3">
      <c r="A501" s="1">
        <f t="shared" si="33"/>
        <v>102</v>
      </c>
      <c r="B501" s="17" t="s">
        <v>189</v>
      </c>
      <c r="C501" s="18" t="s">
        <v>50</v>
      </c>
      <c r="D501" s="33">
        <v>11</v>
      </c>
      <c r="E501" s="34">
        <v>24</v>
      </c>
      <c r="F501" s="70">
        <f t="shared" si="32"/>
        <v>2.1818181818181817</v>
      </c>
    </row>
    <row r="502" spans="1:6" ht="15.6" x14ac:dyDescent="0.3">
      <c r="A502" s="1">
        <f t="shared" si="33"/>
        <v>103</v>
      </c>
      <c r="B502" s="26" t="s">
        <v>37</v>
      </c>
      <c r="C502" s="25" t="s">
        <v>38</v>
      </c>
      <c r="D502" s="33">
        <v>52</v>
      </c>
      <c r="E502" s="34">
        <v>113</v>
      </c>
      <c r="F502" s="70">
        <f t="shared" si="32"/>
        <v>2.1730769230769229</v>
      </c>
    </row>
    <row r="503" spans="1:6" ht="15.6" x14ac:dyDescent="0.3">
      <c r="A503" s="1">
        <f t="shared" si="33"/>
        <v>104</v>
      </c>
      <c r="B503" s="17" t="s">
        <v>129</v>
      </c>
      <c r="C503" s="18" t="s">
        <v>99</v>
      </c>
      <c r="D503" s="33">
        <v>2</v>
      </c>
      <c r="E503" s="34">
        <v>4</v>
      </c>
      <c r="F503" s="70">
        <f t="shared" si="32"/>
        <v>2</v>
      </c>
    </row>
    <row r="504" spans="1:6" ht="15.6" x14ac:dyDescent="0.3">
      <c r="A504" s="1">
        <f t="shared" si="33"/>
        <v>105</v>
      </c>
      <c r="B504" s="17" t="s">
        <v>26</v>
      </c>
      <c r="C504" s="18" t="s">
        <v>27</v>
      </c>
      <c r="D504" s="33">
        <v>7</v>
      </c>
      <c r="E504" s="34">
        <v>13</v>
      </c>
      <c r="F504" s="70">
        <f t="shared" si="32"/>
        <v>1.8571428571428572</v>
      </c>
    </row>
    <row r="505" spans="1:6" ht="15.6" x14ac:dyDescent="0.3">
      <c r="A505" s="1">
        <f t="shared" si="33"/>
        <v>106</v>
      </c>
      <c r="B505" s="26" t="s">
        <v>191</v>
      </c>
      <c r="C505" s="25" t="s">
        <v>52</v>
      </c>
      <c r="D505" s="33">
        <v>34</v>
      </c>
      <c r="E505" s="34">
        <v>63</v>
      </c>
      <c r="F505" s="70">
        <f t="shared" si="32"/>
        <v>1.8529411764705883</v>
      </c>
    </row>
    <row r="506" spans="1:6" ht="15.6" x14ac:dyDescent="0.3">
      <c r="A506" s="1">
        <f t="shared" si="33"/>
        <v>107</v>
      </c>
      <c r="B506" s="17" t="s">
        <v>79</v>
      </c>
      <c r="C506" s="18" t="s">
        <v>50</v>
      </c>
      <c r="D506" s="33">
        <v>6</v>
      </c>
      <c r="E506" s="34">
        <v>11</v>
      </c>
      <c r="F506" s="70">
        <f t="shared" si="32"/>
        <v>1.8333333333333333</v>
      </c>
    </row>
    <row r="507" spans="1:6" ht="15.6" x14ac:dyDescent="0.3">
      <c r="A507" s="1">
        <f t="shared" si="33"/>
        <v>108</v>
      </c>
      <c r="B507" s="17" t="s">
        <v>168</v>
      </c>
      <c r="C507" s="18" t="s">
        <v>29</v>
      </c>
      <c r="D507" s="33">
        <v>16</v>
      </c>
      <c r="E507" s="34">
        <v>29</v>
      </c>
      <c r="F507" s="70">
        <f t="shared" si="32"/>
        <v>1.8125</v>
      </c>
    </row>
    <row r="508" spans="1:6" ht="15.6" x14ac:dyDescent="0.3">
      <c r="A508" s="1">
        <f t="shared" si="33"/>
        <v>109</v>
      </c>
      <c r="B508" s="17" t="s">
        <v>194</v>
      </c>
      <c r="C508" s="18" t="s">
        <v>186</v>
      </c>
      <c r="D508" s="33">
        <v>11</v>
      </c>
      <c r="E508" s="34">
        <v>17</v>
      </c>
      <c r="F508" s="70">
        <f t="shared" si="32"/>
        <v>1.5454545454545454</v>
      </c>
    </row>
    <row r="509" spans="1:6" ht="15.6" x14ac:dyDescent="0.3">
      <c r="A509" s="1">
        <f t="shared" si="33"/>
        <v>110</v>
      </c>
      <c r="B509" s="17" t="s">
        <v>121</v>
      </c>
      <c r="C509" s="18" t="s">
        <v>76</v>
      </c>
      <c r="D509" s="33">
        <v>4</v>
      </c>
      <c r="E509" s="34">
        <v>6</v>
      </c>
      <c r="F509" s="70">
        <f t="shared" si="32"/>
        <v>1.5</v>
      </c>
    </row>
    <row r="510" spans="1:6" ht="15.6" x14ac:dyDescent="0.3">
      <c r="A510" s="1">
        <f t="shared" si="33"/>
        <v>111</v>
      </c>
      <c r="B510" s="17" t="s">
        <v>166</v>
      </c>
      <c r="C510" s="18" t="s">
        <v>31</v>
      </c>
      <c r="D510" s="33">
        <v>5</v>
      </c>
      <c r="E510" s="34">
        <v>7</v>
      </c>
      <c r="F510" s="70">
        <f t="shared" si="32"/>
        <v>1.4</v>
      </c>
    </row>
    <row r="511" spans="1:6" ht="15.6" x14ac:dyDescent="0.3">
      <c r="A511" s="1">
        <f t="shared" si="33"/>
        <v>112</v>
      </c>
      <c r="B511" s="26" t="s">
        <v>134</v>
      </c>
      <c r="C511" s="25" t="s">
        <v>135</v>
      </c>
      <c r="D511" s="33">
        <v>24</v>
      </c>
      <c r="E511" s="34">
        <v>30</v>
      </c>
      <c r="F511" s="70">
        <f t="shared" si="32"/>
        <v>1.25</v>
      </c>
    </row>
    <row r="512" spans="1:6" ht="15.6" x14ac:dyDescent="0.3">
      <c r="A512" s="1">
        <f t="shared" si="33"/>
        <v>113</v>
      </c>
      <c r="B512" s="26" t="s">
        <v>141</v>
      </c>
      <c r="C512" s="25" t="s">
        <v>142</v>
      </c>
      <c r="D512" s="33">
        <v>9</v>
      </c>
      <c r="E512" s="34">
        <v>11</v>
      </c>
      <c r="F512" s="70">
        <f t="shared" si="32"/>
        <v>1.2222222222222223</v>
      </c>
    </row>
    <row r="513" spans="1:6" ht="15.6" x14ac:dyDescent="0.3">
      <c r="A513" s="1">
        <f t="shared" si="33"/>
        <v>114</v>
      </c>
      <c r="B513" s="17" t="s">
        <v>63</v>
      </c>
      <c r="C513" s="18" t="s">
        <v>64</v>
      </c>
      <c r="D513" s="33">
        <v>7</v>
      </c>
      <c r="E513" s="34">
        <v>8</v>
      </c>
      <c r="F513" s="70">
        <f t="shared" si="32"/>
        <v>1.1428571428571428</v>
      </c>
    </row>
    <row r="514" spans="1:6" ht="15.6" x14ac:dyDescent="0.3">
      <c r="A514" s="1">
        <f t="shared" si="33"/>
        <v>115</v>
      </c>
      <c r="B514" s="17" t="s">
        <v>91</v>
      </c>
      <c r="C514" s="18" t="s">
        <v>58</v>
      </c>
      <c r="D514" s="33">
        <v>2</v>
      </c>
      <c r="E514" s="34">
        <v>2</v>
      </c>
      <c r="F514" s="70">
        <f t="shared" si="32"/>
        <v>1</v>
      </c>
    </row>
    <row r="515" spans="1:6" ht="15.6" x14ac:dyDescent="0.3">
      <c r="A515" s="1">
        <f t="shared" si="33"/>
        <v>116</v>
      </c>
      <c r="B515" s="26" t="s">
        <v>107</v>
      </c>
      <c r="C515" s="25" t="s">
        <v>108</v>
      </c>
      <c r="D515" s="24">
        <v>3</v>
      </c>
      <c r="E515" s="22">
        <v>3</v>
      </c>
      <c r="F515" s="70">
        <f t="shared" si="32"/>
        <v>1</v>
      </c>
    </row>
    <row r="516" spans="1:6" ht="15.6" x14ac:dyDescent="0.3">
      <c r="A516" s="1">
        <f t="shared" si="33"/>
        <v>117</v>
      </c>
      <c r="B516" s="17" t="s">
        <v>164</v>
      </c>
      <c r="C516" s="18" t="s">
        <v>165</v>
      </c>
      <c r="D516" s="24">
        <v>3</v>
      </c>
      <c r="E516" s="22">
        <v>2</v>
      </c>
      <c r="F516" s="70">
        <f t="shared" si="32"/>
        <v>0.66666666666666663</v>
      </c>
    </row>
    <row r="517" spans="1:6" ht="15.6" x14ac:dyDescent="0.3">
      <c r="A517" s="1">
        <f t="shared" si="33"/>
        <v>118</v>
      </c>
      <c r="B517" s="26" t="s">
        <v>177</v>
      </c>
      <c r="C517" s="25" t="s">
        <v>178</v>
      </c>
      <c r="D517" s="24">
        <v>3</v>
      </c>
      <c r="E517" s="22">
        <v>2</v>
      </c>
      <c r="F517" s="70">
        <f t="shared" si="32"/>
        <v>0.66666666666666663</v>
      </c>
    </row>
    <row r="518" spans="1:6" ht="15.6" x14ac:dyDescent="0.3">
      <c r="A518" s="1">
        <f t="shared" si="33"/>
        <v>119</v>
      </c>
      <c r="B518" s="17" t="s">
        <v>41</v>
      </c>
      <c r="C518" s="18" t="s">
        <v>42</v>
      </c>
      <c r="D518" s="24">
        <v>8</v>
      </c>
      <c r="E518" s="22">
        <v>5</v>
      </c>
      <c r="F518" s="70">
        <f t="shared" si="32"/>
        <v>0.625</v>
      </c>
    </row>
    <row r="519" spans="1:6" ht="15.6" x14ac:dyDescent="0.3">
      <c r="A519" s="1">
        <f t="shared" si="33"/>
        <v>120</v>
      </c>
      <c r="B519" s="17" t="s">
        <v>89</v>
      </c>
      <c r="C519" s="18" t="s">
        <v>90</v>
      </c>
      <c r="D519" s="24">
        <v>8</v>
      </c>
      <c r="E519" s="22">
        <v>4</v>
      </c>
      <c r="F519" s="70">
        <f t="shared" si="32"/>
        <v>0.5</v>
      </c>
    </row>
    <row r="520" spans="1:6" ht="15.6" x14ac:dyDescent="0.3">
      <c r="A520" s="1">
        <f t="shared" si="33"/>
        <v>121</v>
      </c>
      <c r="B520" s="26" t="s">
        <v>167</v>
      </c>
      <c r="C520" s="25" t="s">
        <v>99</v>
      </c>
      <c r="D520" s="24">
        <v>5</v>
      </c>
      <c r="E520" s="22">
        <v>2</v>
      </c>
      <c r="F520" s="70">
        <f t="shared" si="32"/>
        <v>0.4</v>
      </c>
    </row>
    <row r="521" spans="1:6" ht="15.6" x14ac:dyDescent="0.3">
      <c r="A521" s="1">
        <v>122</v>
      </c>
      <c r="B521" s="26" t="s">
        <v>195</v>
      </c>
      <c r="C521" s="25" t="s">
        <v>196</v>
      </c>
      <c r="D521" s="24">
        <v>5</v>
      </c>
      <c r="E521" s="22">
        <v>2</v>
      </c>
      <c r="F521" s="70">
        <f t="shared" si="32"/>
        <v>0.4</v>
      </c>
    </row>
    <row r="522" spans="1:6" ht="15.6" x14ac:dyDescent="0.3">
      <c r="A522" s="1">
        <v>123</v>
      </c>
      <c r="B522" s="17" t="s">
        <v>78</v>
      </c>
      <c r="C522" s="18" t="s">
        <v>50</v>
      </c>
      <c r="D522" s="24">
        <v>1</v>
      </c>
      <c r="E522" s="22">
        <v>0</v>
      </c>
      <c r="F522" s="70">
        <f t="shared" si="32"/>
        <v>0</v>
      </c>
    </row>
    <row r="523" spans="1:6" ht="15.6" x14ac:dyDescent="0.3">
      <c r="A523" s="1">
        <f t="shared" si="33"/>
        <v>124</v>
      </c>
      <c r="B523" s="26" t="s">
        <v>114</v>
      </c>
      <c r="C523" s="25" t="s">
        <v>76</v>
      </c>
      <c r="D523" s="24">
        <v>7</v>
      </c>
      <c r="E523" s="22">
        <v>0</v>
      </c>
      <c r="F523" s="70">
        <f t="shared" si="32"/>
        <v>0</v>
      </c>
    </row>
    <row r="524" spans="1:6" ht="15.6" x14ac:dyDescent="0.3">
      <c r="A524" s="1">
        <f t="shared" si="33"/>
        <v>125</v>
      </c>
      <c r="B524" s="26" t="s">
        <v>130</v>
      </c>
      <c r="C524" s="25" t="s">
        <v>76</v>
      </c>
      <c r="D524" s="24">
        <v>4</v>
      </c>
      <c r="E524" s="22">
        <v>0</v>
      </c>
      <c r="F524" s="70">
        <f t="shared" si="32"/>
        <v>0</v>
      </c>
    </row>
    <row r="525" spans="1:6" ht="15.6" x14ac:dyDescent="0.3">
      <c r="A525" s="1">
        <f t="shared" si="33"/>
        <v>126</v>
      </c>
      <c r="B525" s="17" t="s">
        <v>133</v>
      </c>
      <c r="C525" s="18" t="s">
        <v>106</v>
      </c>
      <c r="D525" s="24">
        <v>1</v>
      </c>
      <c r="E525" s="22">
        <v>0</v>
      </c>
      <c r="F525" s="70">
        <f t="shared" si="32"/>
        <v>0</v>
      </c>
    </row>
    <row r="526" spans="1:6" ht="16.2" thickBot="1" x14ac:dyDescent="0.35">
      <c r="A526" s="78">
        <f t="shared" si="33"/>
        <v>127</v>
      </c>
      <c r="B526" s="79" t="s">
        <v>182</v>
      </c>
      <c r="C526" s="43" t="s">
        <v>19</v>
      </c>
      <c r="D526" s="41">
        <v>1</v>
      </c>
      <c r="E526" s="42">
        <v>0</v>
      </c>
      <c r="F526" s="81">
        <f t="shared" si="32"/>
        <v>0</v>
      </c>
    </row>
    <row r="528" spans="1:6" ht="15.6" customHeight="1" x14ac:dyDescent="0.3">
      <c r="B528" s="52" t="s">
        <v>222</v>
      </c>
      <c r="C528" s="52"/>
      <c r="D528" s="52"/>
      <c r="E528" s="52"/>
    </row>
    <row r="529" spans="1:5" ht="18.600000000000001" customHeight="1" thickBot="1" x14ac:dyDescent="0.35">
      <c r="B529" s="53"/>
      <c r="C529" s="53"/>
      <c r="D529" s="53"/>
      <c r="E529" s="53"/>
    </row>
    <row r="530" spans="1:5" x14ac:dyDescent="0.3">
      <c r="A530" s="2"/>
      <c r="B530" s="45" t="s">
        <v>1</v>
      </c>
      <c r="C530" s="47" t="s">
        <v>2</v>
      </c>
      <c r="D530" s="5" t="s">
        <v>13</v>
      </c>
      <c r="E530" s="7"/>
    </row>
    <row r="531" spans="1:5" ht="18" thickBot="1" x14ac:dyDescent="0.35">
      <c r="A531" s="2"/>
      <c r="B531" s="46"/>
      <c r="C531" s="48"/>
      <c r="D531" s="49" t="s">
        <v>16</v>
      </c>
      <c r="E531" s="15" t="s">
        <v>17</v>
      </c>
    </row>
    <row r="532" spans="1:5" ht="15.6" x14ac:dyDescent="0.3">
      <c r="A532" s="1">
        <v>1</v>
      </c>
      <c r="B532" s="17" t="s">
        <v>55</v>
      </c>
      <c r="C532" s="18" t="s">
        <v>56</v>
      </c>
      <c r="D532" s="54">
        <v>104</v>
      </c>
      <c r="E532" s="25">
        <v>1650</v>
      </c>
    </row>
    <row r="533" spans="1:5" ht="15.6" x14ac:dyDescent="0.3">
      <c r="A533" s="1">
        <f>A532+1</f>
        <v>2</v>
      </c>
      <c r="B533" s="17" t="s">
        <v>101</v>
      </c>
      <c r="C533" s="18" t="s">
        <v>70</v>
      </c>
      <c r="D533" s="54">
        <v>86</v>
      </c>
      <c r="E533" s="25">
        <v>1433</v>
      </c>
    </row>
    <row r="534" spans="1:5" ht="15.6" x14ac:dyDescent="0.3">
      <c r="A534" s="1">
        <f t="shared" ref="A534:A597" si="34">A533+1</f>
        <v>3</v>
      </c>
      <c r="B534" s="17" t="s">
        <v>61</v>
      </c>
      <c r="C534" s="18" t="s">
        <v>62</v>
      </c>
      <c r="D534" s="54">
        <v>79</v>
      </c>
      <c r="E534" s="25">
        <v>694</v>
      </c>
    </row>
    <row r="535" spans="1:5" ht="15.6" x14ac:dyDescent="0.3">
      <c r="A535" s="1">
        <f t="shared" si="34"/>
        <v>4</v>
      </c>
      <c r="B535" s="17" t="s">
        <v>199</v>
      </c>
      <c r="C535" s="18" t="s">
        <v>106</v>
      </c>
      <c r="D535" s="54">
        <v>76</v>
      </c>
      <c r="E535" s="25">
        <v>406</v>
      </c>
    </row>
    <row r="536" spans="1:5" ht="15.6" x14ac:dyDescent="0.3">
      <c r="A536" s="1">
        <f t="shared" si="34"/>
        <v>5</v>
      </c>
      <c r="B536" s="17" t="s">
        <v>34</v>
      </c>
      <c r="C536" s="18" t="s">
        <v>36</v>
      </c>
      <c r="D536" s="54">
        <v>70</v>
      </c>
      <c r="E536" s="25">
        <v>1037</v>
      </c>
    </row>
    <row r="537" spans="1:5" ht="15.6" x14ac:dyDescent="0.3">
      <c r="A537" s="1">
        <f t="shared" si="34"/>
        <v>6</v>
      </c>
      <c r="B537" s="17" t="s">
        <v>185</v>
      </c>
      <c r="C537" s="18" t="s">
        <v>186</v>
      </c>
      <c r="D537" s="54">
        <v>68</v>
      </c>
      <c r="E537" s="25">
        <v>480</v>
      </c>
    </row>
    <row r="538" spans="1:5" ht="15.6" x14ac:dyDescent="0.3">
      <c r="A538" s="1">
        <f t="shared" si="34"/>
        <v>7</v>
      </c>
      <c r="B538" s="17" t="s">
        <v>110</v>
      </c>
      <c r="C538" s="18" t="s">
        <v>46</v>
      </c>
      <c r="D538" s="54">
        <v>56</v>
      </c>
      <c r="E538" s="25">
        <v>622</v>
      </c>
    </row>
    <row r="539" spans="1:5" ht="15.6" x14ac:dyDescent="0.3">
      <c r="A539" s="1">
        <f t="shared" si="34"/>
        <v>8</v>
      </c>
      <c r="B539" s="17" t="s">
        <v>59</v>
      </c>
      <c r="C539" s="18" t="s">
        <v>60</v>
      </c>
      <c r="D539" s="54">
        <v>52</v>
      </c>
      <c r="E539" s="25">
        <v>601</v>
      </c>
    </row>
    <row r="540" spans="1:5" ht="15.6" x14ac:dyDescent="0.3">
      <c r="A540" s="1">
        <f t="shared" si="34"/>
        <v>9</v>
      </c>
      <c r="B540" s="17" t="s">
        <v>149</v>
      </c>
      <c r="C540" s="18" t="s">
        <v>150</v>
      </c>
      <c r="D540" s="54">
        <v>51</v>
      </c>
      <c r="E540" s="25">
        <v>530</v>
      </c>
    </row>
    <row r="541" spans="1:5" ht="15.6" x14ac:dyDescent="0.3">
      <c r="A541" s="1">
        <f t="shared" si="34"/>
        <v>10</v>
      </c>
      <c r="B541" s="17" t="s">
        <v>65</v>
      </c>
      <c r="C541" s="18" t="s">
        <v>50</v>
      </c>
      <c r="D541" s="54">
        <v>48</v>
      </c>
      <c r="E541" s="25">
        <v>442</v>
      </c>
    </row>
    <row r="542" spans="1:5" ht="15.6" x14ac:dyDescent="0.3">
      <c r="A542" s="1">
        <f t="shared" si="34"/>
        <v>11</v>
      </c>
      <c r="B542" s="17" t="s">
        <v>120</v>
      </c>
      <c r="C542" s="18" t="s">
        <v>33</v>
      </c>
      <c r="D542" s="54">
        <v>46</v>
      </c>
      <c r="E542" s="25">
        <v>300</v>
      </c>
    </row>
    <row r="543" spans="1:5" ht="15.6" x14ac:dyDescent="0.3">
      <c r="A543" s="1">
        <f t="shared" si="34"/>
        <v>12</v>
      </c>
      <c r="B543" s="17" t="s">
        <v>176</v>
      </c>
      <c r="C543" s="18" t="s">
        <v>144</v>
      </c>
      <c r="D543" s="54">
        <v>46</v>
      </c>
      <c r="E543" s="25">
        <v>427</v>
      </c>
    </row>
    <row r="544" spans="1:5" ht="15.6" x14ac:dyDescent="0.3">
      <c r="A544" s="1">
        <f t="shared" si="34"/>
        <v>13</v>
      </c>
      <c r="B544" s="17" t="s">
        <v>68</v>
      </c>
      <c r="C544" s="18" t="s">
        <v>60</v>
      </c>
      <c r="D544" s="54">
        <v>44</v>
      </c>
      <c r="E544" s="25">
        <v>257</v>
      </c>
    </row>
    <row r="545" spans="1:5" ht="15.6" x14ac:dyDescent="0.3">
      <c r="A545" s="1">
        <f t="shared" si="34"/>
        <v>14</v>
      </c>
      <c r="B545" s="17" t="s">
        <v>172</v>
      </c>
      <c r="C545" s="18" t="s">
        <v>29</v>
      </c>
      <c r="D545" s="54">
        <v>43</v>
      </c>
      <c r="E545" s="25">
        <v>423</v>
      </c>
    </row>
    <row r="546" spans="1:5" ht="15.6" x14ac:dyDescent="0.3">
      <c r="A546" s="1">
        <f t="shared" si="34"/>
        <v>15</v>
      </c>
      <c r="B546" s="17" t="s">
        <v>207</v>
      </c>
      <c r="C546" s="18" t="s">
        <v>208</v>
      </c>
      <c r="D546" s="54">
        <v>43</v>
      </c>
      <c r="E546" s="25">
        <v>274</v>
      </c>
    </row>
    <row r="547" spans="1:5" ht="15.6" x14ac:dyDescent="0.3">
      <c r="A547" s="1">
        <f t="shared" si="34"/>
        <v>16</v>
      </c>
      <c r="B547" s="26" t="s">
        <v>115</v>
      </c>
      <c r="C547" s="25" t="s">
        <v>116</v>
      </c>
      <c r="D547" s="54">
        <v>42</v>
      </c>
      <c r="E547" s="25">
        <v>236</v>
      </c>
    </row>
    <row r="548" spans="1:5" ht="15.6" x14ac:dyDescent="0.3">
      <c r="A548" s="1">
        <f t="shared" si="34"/>
        <v>17</v>
      </c>
      <c r="B548" s="17" t="s">
        <v>155</v>
      </c>
      <c r="C548" s="18" t="s">
        <v>156</v>
      </c>
      <c r="D548" s="54">
        <v>42</v>
      </c>
      <c r="E548" s="25">
        <v>210</v>
      </c>
    </row>
    <row r="549" spans="1:5" ht="15.6" x14ac:dyDescent="0.3">
      <c r="A549" s="1">
        <f t="shared" si="34"/>
        <v>18</v>
      </c>
      <c r="B549" s="17" t="s">
        <v>180</v>
      </c>
      <c r="C549" s="18" t="s">
        <v>181</v>
      </c>
      <c r="D549" s="54">
        <v>41</v>
      </c>
      <c r="E549" s="25">
        <v>185</v>
      </c>
    </row>
    <row r="550" spans="1:5" ht="15.6" x14ac:dyDescent="0.3">
      <c r="A550" s="1">
        <f t="shared" si="34"/>
        <v>19</v>
      </c>
      <c r="B550" s="17" t="s">
        <v>132</v>
      </c>
      <c r="C550" s="18" t="s">
        <v>44</v>
      </c>
      <c r="D550" s="54">
        <v>40</v>
      </c>
      <c r="E550" s="25">
        <v>226</v>
      </c>
    </row>
    <row r="551" spans="1:5" ht="15.6" x14ac:dyDescent="0.3">
      <c r="A551" s="1">
        <f t="shared" si="34"/>
        <v>20</v>
      </c>
      <c r="B551" s="26" t="s">
        <v>47</v>
      </c>
      <c r="C551" s="25" t="s">
        <v>48</v>
      </c>
      <c r="D551" s="54">
        <v>38</v>
      </c>
      <c r="E551" s="25">
        <v>270</v>
      </c>
    </row>
    <row r="552" spans="1:5" ht="15.6" x14ac:dyDescent="0.3">
      <c r="A552" s="1">
        <f t="shared" si="34"/>
        <v>21</v>
      </c>
      <c r="B552" s="17" t="s">
        <v>84</v>
      </c>
      <c r="C552" s="18" t="s">
        <v>33</v>
      </c>
      <c r="D552" s="54">
        <v>38</v>
      </c>
      <c r="E552" s="25">
        <v>368</v>
      </c>
    </row>
    <row r="553" spans="1:5" ht="15.6" x14ac:dyDescent="0.3">
      <c r="A553" s="1">
        <f t="shared" si="34"/>
        <v>22</v>
      </c>
      <c r="B553" s="17" t="s">
        <v>28</v>
      </c>
      <c r="C553" s="18" t="s">
        <v>29</v>
      </c>
      <c r="D553" s="54">
        <v>35</v>
      </c>
      <c r="E553" s="25">
        <v>169</v>
      </c>
    </row>
    <row r="554" spans="1:5" ht="15.6" x14ac:dyDescent="0.3">
      <c r="A554" s="1">
        <f t="shared" si="34"/>
        <v>23</v>
      </c>
      <c r="B554" s="17" t="s">
        <v>117</v>
      </c>
      <c r="C554" s="18" t="s">
        <v>44</v>
      </c>
      <c r="D554" s="54">
        <v>35</v>
      </c>
      <c r="E554" s="25">
        <v>141</v>
      </c>
    </row>
    <row r="555" spans="1:5" ht="15.6" x14ac:dyDescent="0.3">
      <c r="A555" s="1">
        <f t="shared" si="34"/>
        <v>24</v>
      </c>
      <c r="B555" s="17" t="s">
        <v>30</v>
      </c>
      <c r="C555" s="18" t="s">
        <v>31</v>
      </c>
      <c r="D555" s="54">
        <v>34</v>
      </c>
      <c r="E555" s="25">
        <v>90</v>
      </c>
    </row>
    <row r="556" spans="1:5" ht="15.6" x14ac:dyDescent="0.3">
      <c r="A556" s="1">
        <f t="shared" si="34"/>
        <v>25</v>
      </c>
      <c r="B556" s="26" t="s">
        <v>71</v>
      </c>
      <c r="C556" s="25" t="s">
        <v>72</v>
      </c>
      <c r="D556" s="54">
        <v>31</v>
      </c>
      <c r="E556" s="25">
        <v>127</v>
      </c>
    </row>
    <row r="557" spans="1:5" ht="15.6" x14ac:dyDescent="0.3">
      <c r="A557" s="1">
        <f t="shared" si="34"/>
        <v>26</v>
      </c>
      <c r="B557" s="17" t="s">
        <v>151</v>
      </c>
      <c r="C557" s="18" t="s">
        <v>152</v>
      </c>
      <c r="D557" s="54">
        <v>29</v>
      </c>
      <c r="E557" s="25">
        <v>53</v>
      </c>
    </row>
    <row r="558" spans="1:5" ht="15.6" x14ac:dyDescent="0.3">
      <c r="A558" s="1">
        <f t="shared" si="34"/>
        <v>27</v>
      </c>
      <c r="B558" s="17" t="s">
        <v>197</v>
      </c>
      <c r="C558" s="18" t="s">
        <v>142</v>
      </c>
      <c r="D558" s="54">
        <v>29</v>
      </c>
      <c r="E558" s="25">
        <v>182</v>
      </c>
    </row>
    <row r="559" spans="1:5" ht="15.6" x14ac:dyDescent="0.3">
      <c r="A559" s="1">
        <f t="shared" si="34"/>
        <v>28</v>
      </c>
      <c r="B559" s="26" t="s">
        <v>51</v>
      </c>
      <c r="C559" s="25" t="s">
        <v>52</v>
      </c>
      <c r="D559" s="54">
        <v>27</v>
      </c>
      <c r="E559" s="25">
        <v>283</v>
      </c>
    </row>
    <row r="560" spans="1:5" ht="15.6" x14ac:dyDescent="0.3">
      <c r="A560" s="1">
        <f t="shared" si="34"/>
        <v>29</v>
      </c>
      <c r="B560" s="17" t="s">
        <v>53</v>
      </c>
      <c r="C560" s="18" t="s">
        <v>54</v>
      </c>
      <c r="D560" s="54">
        <v>26</v>
      </c>
      <c r="E560" s="25">
        <v>221</v>
      </c>
    </row>
    <row r="561" spans="1:5" ht="15.6" x14ac:dyDescent="0.3">
      <c r="A561" s="1">
        <f t="shared" si="34"/>
        <v>30</v>
      </c>
      <c r="B561" s="17" t="s">
        <v>159</v>
      </c>
      <c r="C561" s="18" t="s">
        <v>160</v>
      </c>
      <c r="D561" s="54">
        <v>26</v>
      </c>
      <c r="E561" s="25">
        <v>221</v>
      </c>
    </row>
    <row r="562" spans="1:5" ht="15.6" x14ac:dyDescent="0.3">
      <c r="A562" s="1">
        <f t="shared" si="34"/>
        <v>31</v>
      </c>
      <c r="B562" s="17" t="s">
        <v>105</v>
      </c>
      <c r="C562" s="18" t="s">
        <v>106</v>
      </c>
      <c r="D562" s="54">
        <v>25</v>
      </c>
      <c r="E562" s="25">
        <v>118</v>
      </c>
    </row>
    <row r="563" spans="1:5" ht="15.6" x14ac:dyDescent="0.3">
      <c r="A563" s="1">
        <f t="shared" si="34"/>
        <v>32</v>
      </c>
      <c r="B563" s="17" t="s">
        <v>119</v>
      </c>
      <c r="C563" s="18" t="s">
        <v>70</v>
      </c>
      <c r="D563" s="54">
        <v>25</v>
      </c>
      <c r="E563" s="25">
        <v>95</v>
      </c>
    </row>
    <row r="564" spans="1:5" ht="15.6" x14ac:dyDescent="0.3">
      <c r="A564" s="1">
        <f t="shared" si="34"/>
        <v>33</v>
      </c>
      <c r="B564" s="17" t="s">
        <v>124</v>
      </c>
      <c r="C564" s="18" t="s">
        <v>125</v>
      </c>
      <c r="D564" s="54">
        <v>24</v>
      </c>
      <c r="E564" s="25">
        <v>146</v>
      </c>
    </row>
    <row r="565" spans="1:5" ht="15.6" x14ac:dyDescent="0.3">
      <c r="A565" s="1">
        <f t="shared" si="34"/>
        <v>34</v>
      </c>
      <c r="B565" s="26" t="s">
        <v>169</v>
      </c>
      <c r="C565" s="25" t="s">
        <v>171</v>
      </c>
      <c r="D565" s="54">
        <v>24</v>
      </c>
      <c r="E565" s="25">
        <v>90</v>
      </c>
    </row>
    <row r="566" spans="1:5" ht="15.6" x14ac:dyDescent="0.3">
      <c r="A566" s="1">
        <f t="shared" si="34"/>
        <v>35</v>
      </c>
      <c r="B566" s="17" t="s">
        <v>20</v>
      </c>
      <c r="C566" s="18" t="s">
        <v>21</v>
      </c>
      <c r="D566" s="54">
        <v>23</v>
      </c>
      <c r="E566" s="25">
        <v>70</v>
      </c>
    </row>
    <row r="567" spans="1:5" ht="15.6" x14ac:dyDescent="0.3">
      <c r="A567" s="1">
        <f t="shared" si="34"/>
        <v>36</v>
      </c>
      <c r="B567" s="17" t="s">
        <v>118</v>
      </c>
      <c r="C567" s="18" t="s">
        <v>64</v>
      </c>
      <c r="D567" s="54">
        <v>23</v>
      </c>
      <c r="E567" s="25">
        <v>180</v>
      </c>
    </row>
    <row r="568" spans="1:5" ht="15.6" x14ac:dyDescent="0.3">
      <c r="A568" s="1">
        <f t="shared" si="34"/>
        <v>37</v>
      </c>
      <c r="B568" s="17" t="s">
        <v>211</v>
      </c>
      <c r="C568" s="18" t="s">
        <v>38</v>
      </c>
      <c r="D568" s="54">
        <v>22</v>
      </c>
      <c r="E568" s="25">
        <v>205</v>
      </c>
    </row>
    <row r="569" spans="1:5" ht="15.6" x14ac:dyDescent="0.3">
      <c r="A569" s="1">
        <f t="shared" si="34"/>
        <v>38</v>
      </c>
      <c r="B569" s="26" t="s">
        <v>126</v>
      </c>
      <c r="C569" s="25" t="s">
        <v>127</v>
      </c>
      <c r="D569" s="54">
        <v>21</v>
      </c>
      <c r="E569" s="25">
        <v>138</v>
      </c>
    </row>
    <row r="570" spans="1:5" ht="15.6" x14ac:dyDescent="0.3">
      <c r="A570" s="1">
        <f t="shared" si="34"/>
        <v>39</v>
      </c>
      <c r="B570" s="17" t="s">
        <v>205</v>
      </c>
      <c r="C570" s="18" t="s">
        <v>206</v>
      </c>
      <c r="D570" s="54">
        <v>21</v>
      </c>
      <c r="E570" s="25">
        <v>214</v>
      </c>
    </row>
    <row r="571" spans="1:5" ht="15.6" x14ac:dyDescent="0.3">
      <c r="A571" s="1">
        <f t="shared" si="34"/>
        <v>40</v>
      </c>
      <c r="B571" s="17" t="s">
        <v>22</v>
      </c>
      <c r="C571" s="18" t="s">
        <v>23</v>
      </c>
      <c r="D571" s="54">
        <v>20</v>
      </c>
      <c r="E571" s="25">
        <v>193</v>
      </c>
    </row>
    <row r="572" spans="1:5" ht="15.6" x14ac:dyDescent="0.3">
      <c r="A572" s="1">
        <f t="shared" si="34"/>
        <v>41</v>
      </c>
      <c r="B572" s="17" t="s">
        <v>96</v>
      </c>
      <c r="C572" s="18" t="s">
        <v>97</v>
      </c>
      <c r="D572" s="54">
        <v>20</v>
      </c>
      <c r="E572" s="25">
        <v>99</v>
      </c>
    </row>
    <row r="573" spans="1:5" ht="15.6" x14ac:dyDescent="0.3">
      <c r="A573" s="1">
        <f t="shared" si="34"/>
        <v>42</v>
      </c>
      <c r="B573" s="17" t="s">
        <v>175</v>
      </c>
      <c r="C573" s="18" t="s">
        <v>50</v>
      </c>
      <c r="D573" s="54">
        <v>20</v>
      </c>
      <c r="E573" s="25">
        <v>119</v>
      </c>
    </row>
    <row r="574" spans="1:5" ht="15.6" x14ac:dyDescent="0.3">
      <c r="A574" s="1">
        <f t="shared" si="34"/>
        <v>43</v>
      </c>
      <c r="B574" s="26" t="s">
        <v>37</v>
      </c>
      <c r="C574" s="25" t="s">
        <v>38</v>
      </c>
      <c r="D574" s="54">
        <v>18</v>
      </c>
      <c r="E574" s="25">
        <v>78</v>
      </c>
    </row>
    <row r="575" spans="1:5" ht="15.6" x14ac:dyDescent="0.3">
      <c r="A575" s="1">
        <f t="shared" si="34"/>
        <v>44</v>
      </c>
      <c r="B575" s="17" t="s">
        <v>43</v>
      </c>
      <c r="C575" s="18" t="s">
        <v>44</v>
      </c>
      <c r="D575" s="54">
        <v>18</v>
      </c>
      <c r="E575" s="25">
        <v>66</v>
      </c>
    </row>
    <row r="576" spans="1:5" ht="15.6" x14ac:dyDescent="0.3">
      <c r="A576" s="1">
        <f t="shared" si="34"/>
        <v>45</v>
      </c>
      <c r="B576" s="17" t="s">
        <v>131</v>
      </c>
      <c r="C576" s="18" t="s">
        <v>70</v>
      </c>
      <c r="D576" s="54">
        <v>18</v>
      </c>
      <c r="E576" s="25">
        <v>56</v>
      </c>
    </row>
    <row r="577" spans="1:5" ht="15.6" x14ac:dyDescent="0.3">
      <c r="A577" s="1">
        <f t="shared" si="34"/>
        <v>46</v>
      </c>
      <c r="B577" s="26" t="s">
        <v>169</v>
      </c>
      <c r="C577" s="25" t="s">
        <v>170</v>
      </c>
      <c r="D577" s="54">
        <v>17</v>
      </c>
      <c r="E577" s="25">
        <v>108</v>
      </c>
    </row>
    <row r="578" spans="1:5" ht="15.6" x14ac:dyDescent="0.3">
      <c r="A578" s="1">
        <f t="shared" si="34"/>
        <v>47</v>
      </c>
      <c r="B578" s="17" t="s">
        <v>143</v>
      </c>
      <c r="C578" s="18" t="s">
        <v>144</v>
      </c>
      <c r="D578" s="54">
        <v>16</v>
      </c>
      <c r="E578" s="25">
        <v>100</v>
      </c>
    </row>
    <row r="579" spans="1:5" ht="15.6" x14ac:dyDescent="0.3">
      <c r="A579" s="1">
        <f t="shared" si="34"/>
        <v>48</v>
      </c>
      <c r="B579" s="26" t="s">
        <v>191</v>
      </c>
      <c r="C579" s="25" t="s">
        <v>52</v>
      </c>
      <c r="D579" s="54">
        <v>16</v>
      </c>
      <c r="E579" s="25">
        <v>20</v>
      </c>
    </row>
    <row r="580" spans="1:5" ht="15.6" x14ac:dyDescent="0.3">
      <c r="A580" s="1">
        <f t="shared" si="34"/>
        <v>49</v>
      </c>
      <c r="B580" s="17" t="s">
        <v>216</v>
      </c>
      <c r="C580" s="18" t="s">
        <v>42</v>
      </c>
      <c r="D580" s="54">
        <v>16</v>
      </c>
      <c r="E580" s="25">
        <v>92</v>
      </c>
    </row>
    <row r="581" spans="1:5" ht="15.6" x14ac:dyDescent="0.3">
      <c r="A581" s="1">
        <f t="shared" si="34"/>
        <v>50</v>
      </c>
      <c r="B581" s="17" t="s">
        <v>80</v>
      </c>
      <c r="C581" s="18" t="s">
        <v>81</v>
      </c>
      <c r="D581" s="54">
        <v>15</v>
      </c>
      <c r="E581" s="25">
        <v>77</v>
      </c>
    </row>
    <row r="582" spans="1:5" ht="15.6" x14ac:dyDescent="0.3">
      <c r="A582" s="1">
        <f t="shared" si="34"/>
        <v>51</v>
      </c>
      <c r="B582" s="17" t="s">
        <v>202</v>
      </c>
      <c r="C582" s="18" t="s">
        <v>201</v>
      </c>
      <c r="D582" s="54">
        <v>15</v>
      </c>
      <c r="E582" s="25">
        <v>116</v>
      </c>
    </row>
    <row r="583" spans="1:5" ht="15.6" x14ac:dyDescent="0.3">
      <c r="A583" s="1">
        <f t="shared" si="34"/>
        <v>52</v>
      </c>
      <c r="B583" s="17" t="s">
        <v>190</v>
      </c>
      <c r="C583" s="18" t="s">
        <v>186</v>
      </c>
      <c r="D583" s="54">
        <v>14</v>
      </c>
      <c r="E583" s="25">
        <v>126</v>
      </c>
    </row>
    <row r="584" spans="1:5" ht="15.6" x14ac:dyDescent="0.3">
      <c r="A584" s="1">
        <f t="shared" si="34"/>
        <v>53</v>
      </c>
      <c r="B584" s="17" t="s">
        <v>145</v>
      </c>
      <c r="C584" s="18" t="s">
        <v>146</v>
      </c>
      <c r="D584" s="54">
        <v>13</v>
      </c>
      <c r="E584" s="25">
        <v>52</v>
      </c>
    </row>
    <row r="585" spans="1:5" ht="15.6" x14ac:dyDescent="0.3">
      <c r="A585" s="1">
        <f t="shared" si="34"/>
        <v>54</v>
      </c>
      <c r="B585" s="17" t="s">
        <v>18</v>
      </c>
      <c r="C585" s="18" t="s">
        <v>19</v>
      </c>
      <c r="D585" s="54">
        <v>11</v>
      </c>
      <c r="E585" s="25">
        <v>41</v>
      </c>
    </row>
    <row r="586" spans="1:5" ht="15.6" x14ac:dyDescent="0.3">
      <c r="A586" s="1">
        <f t="shared" si="34"/>
        <v>55</v>
      </c>
      <c r="B586" s="17" t="s">
        <v>75</v>
      </c>
      <c r="C586" s="18" t="s">
        <v>76</v>
      </c>
      <c r="D586" s="54">
        <v>11</v>
      </c>
      <c r="E586" s="25">
        <v>39</v>
      </c>
    </row>
    <row r="587" spans="1:5" ht="15.6" x14ac:dyDescent="0.3">
      <c r="A587" s="1">
        <f t="shared" si="34"/>
        <v>56</v>
      </c>
      <c r="B587" s="17" t="s">
        <v>130</v>
      </c>
      <c r="C587" s="18" t="s">
        <v>106</v>
      </c>
      <c r="D587" s="54">
        <v>10</v>
      </c>
      <c r="E587" s="25">
        <v>30</v>
      </c>
    </row>
    <row r="588" spans="1:5" ht="15.6" x14ac:dyDescent="0.3">
      <c r="A588" s="1">
        <f t="shared" si="34"/>
        <v>57</v>
      </c>
      <c r="B588" s="17" t="s">
        <v>168</v>
      </c>
      <c r="C588" s="18" t="s">
        <v>29</v>
      </c>
      <c r="D588" s="54">
        <v>9</v>
      </c>
      <c r="E588" s="25">
        <v>10</v>
      </c>
    </row>
    <row r="589" spans="1:5" ht="15.6" x14ac:dyDescent="0.3">
      <c r="A589" s="1">
        <f t="shared" si="34"/>
        <v>58</v>
      </c>
      <c r="B589" s="17" t="s">
        <v>179</v>
      </c>
      <c r="C589" s="18" t="s">
        <v>142</v>
      </c>
      <c r="D589" s="54">
        <v>7</v>
      </c>
      <c r="E589" s="25">
        <v>7</v>
      </c>
    </row>
    <row r="590" spans="1:5" ht="15.6" x14ac:dyDescent="0.3">
      <c r="A590" s="1">
        <f t="shared" si="34"/>
        <v>59</v>
      </c>
      <c r="B590" s="17" t="s">
        <v>91</v>
      </c>
      <c r="C590" s="18" t="s">
        <v>92</v>
      </c>
      <c r="D590" s="54">
        <v>6</v>
      </c>
      <c r="E590" s="25">
        <v>38</v>
      </c>
    </row>
    <row r="591" spans="1:5" ht="15.6" x14ac:dyDescent="0.3">
      <c r="A591" s="1">
        <f t="shared" si="34"/>
        <v>60</v>
      </c>
      <c r="B591" s="17" t="s">
        <v>153</v>
      </c>
      <c r="C591" s="18" t="s">
        <v>50</v>
      </c>
      <c r="D591" s="54">
        <v>6</v>
      </c>
      <c r="E591" s="25">
        <v>14</v>
      </c>
    </row>
    <row r="592" spans="1:5" ht="15.6" x14ac:dyDescent="0.3">
      <c r="A592" s="1">
        <v>61</v>
      </c>
      <c r="B592" s="17" t="s">
        <v>159</v>
      </c>
      <c r="C592" s="18" t="s">
        <v>161</v>
      </c>
      <c r="D592" s="54">
        <v>6</v>
      </c>
      <c r="E592" s="25">
        <v>7</v>
      </c>
    </row>
    <row r="593" spans="1:5" ht="15.6" x14ac:dyDescent="0.3">
      <c r="A593" s="1">
        <v>62</v>
      </c>
      <c r="B593" s="26" t="s">
        <v>32</v>
      </c>
      <c r="C593" s="25" t="s">
        <v>33</v>
      </c>
      <c r="D593" s="54">
        <v>5</v>
      </c>
      <c r="E593" s="25">
        <v>14</v>
      </c>
    </row>
    <row r="594" spans="1:5" ht="15.6" x14ac:dyDescent="0.3">
      <c r="A594" s="1">
        <f t="shared" si="34"/>
        <v>63</v>
      </c>
      <c r="B594" s="26" t="s">
        <v>82</v>
      </c>
      <c r="C594" s="25" t="s">
        <v>83</v>
      </c>
      <c r="D594" s="54">
        <v>5</v>
      </c>
      <c r="E594" s="25">
        <v>14</v>
      </c>
    </row>
    <row r="595" spans="1:5" ht="15.6" x14ac:dyDescent="0.3">
      <c r="A595" s="1">
        <f t="shared" si="34"/>
        <v>64</v>
      </c>
      <c r="B595" s="26" t="s">
        <v>141</v>
      </c>
      <c r="C595" s="25" t="s">
        <v>142</v>
      </c>
      <c r="D595" s="54">
        <v>5</v>
      </c>
      <c r="E595" s="25">
        <v>5</v>
      </c>
    </row>
    <row r="596" spans="1:5" ht="15.6" x14ac:dyDescent="0.3">
      <c r="A596" s="1">
        <f t="shared" si="34"/>
        <v>65</v>
      </c>
      <c r="B596" s="26" t="s">
        <v>167</v>
      </c>
      <c r="C596" s="25" t="s">
        <v>99</v>
      </c>
      <c r="D596" s="54">
        <v>5</v>
      </c>
      <c r="E596" s="25">
        <v>2</v>
      </c>
    </row>
    <row r="597" spans="1:5" ht="15.6" x14ac:dyDescent="0.3">
      <c r="A597" s="1">
        <f t="shared" si="34"/>
        <v>66</v>
      </c>
      <c r="B597" s="17" t="s">
        <v>212</v>
      </c>
      <c r="C597" s="77" t="s">
        <v>213</v>
      </c>
      <c r="D597" s="54">
        <v>4</v>
      </c>
      <c r="E597" s="20">
        <v>25</v>
      </c>
    </row>
    <row r="598" spans="1:5" ht="15.6" x14ac:dyDescent="0.3">
      <c r="A598" s="1">
        <v>66</v>
      </c>
      <c r="B598" s="26" t="s">
        <v>134</v>
      </c>
      <c r="C598" s="25" t="s">
        <v>135</v>
      </c>
      <c r="D598" s="54">
        <v>4</v>
      </c>
      <c r="E598" s="25">
        <v>3</v>
      </c>
    </row>
    <row r="599" spans="1:5" ht="16.2" thickBot="1" x14ac:dyDescent="0.35">
      <c r="A599" s="1">
        <v>67</v>
      </c>
      <c r="B599" s="79" t="s">
        <v>107</v>
      </c>
      <c r="C599" s="43" t="s">
        <v>108</v>
      </c>
      <c r="D599" s="80">
        <v>3</v>
      </c>
      <c r="E599" s="43">
        <v>3</v>
      </c>
    </row>
    <row r="601" spans="1:5" ht="15.6" customHeight="1" x14ac:dyDescent="0.3">
      <c r="B601" s="52" t="s">
        <v>223</v>
      </c>
      <c r="C601" s="52"/>
      <c r="D601" s="52"/>
      <c r="E601" s="52"/>
    </row>
    <row r="602" spans="1:5" ht="18.600000000000001" customHeight="1" thickBot="1" x14ac:dyDescent="0.35">
      <c r="B602" s="53"/>
      <c r="C602" s="53"/>
      <c r="D602" s="53"/>
      <c r="E602" s="53"/>
    </row>
    <row r="603" spans="1:5" x14ac:dyDescent="0.3">
      <c r="A603" s="2"/>
      <c r="B603" s="45" t="s">
        <v>1</v>
      </c>
      <c r="C603" s="47" t="s">
        <v>2</v>
      </c>
      <c r="D603" s="5" t="s">
        <v>13</v>
      </c>
      <c r="E603" s="7"/>
    </row>
    <row r="604" spans="1:5" ht="18" thickBot="1" x14ac:dyDescent="0.35">
      <c r="A604" s="2"/>
      <c r="B604" s="46"/>
      <c r="C604" s="48"/>
      <c r="D604" s="13" t="s">
        <v>16</v>
      </c>
      <c r="E604" s="82" t="s">
        <v>17</v>
      </c>
    </row>
    <row r="605" spans="1:5" ht="15.6" x14ac:dyDescent="0.3">
      <c r="A605" s="1">
        <v>1</v>
      </c>
      <c r="B605" s="17" t="s">
        <v>55</v>
      </c>
      <c r="C605" s="18" t="s">
        <v>56</v>
      </c>
      <c r="D605" s="23">
        <v>104</v>
      </c>
      <c r="E605" s="83">
        <v>1650</v>
      </c>
    </row>
    <row r="606" spans="1:5" ht="15.6" x14ac:dyDescent="0.3">
      <c r="A606" s="1">
        <f>A605+1</f>
        <v>2</v>
      </c>
      <c r="B606" s="17" t="s">
        <v>101</v>
      </c>
      <c r="C606" s="18" t="s">
        <v>70</v>
      </c>
      <c r="D606" s="23">
        <v>86</v>
      </c>
      <c r="E606" s="83">
        <v>1433</v>
      </c>
    </row>
    <row r="607" spans="1:5" ht="15.6" x14ac:dyDescent="0.3">
      <c r="A607" s="1">
        <f t="shared" ref="A607:A670" si="35">A606+1</f>
        <v>3</v>
      </c>
      <c r="B607" s="17" t="s">
        <v>34</v>
      </c>
      <c r="C607" s="18" t="s">
        <v>36</v>
      </c>
      <c r="D607" s="23">
        <v>70</v>
      </c>
      <c r="E607" s="83">
        <v>1037</v>
      </c>
    </row>
    <row r="608" spans="1:5" ht="15.6" x14ac:dyDescent="0.3">
      <c r="A608" s="1">
        <f t="shared" si="35"/>
        <v>4</v>
      </c>
      <c r="B608" s="17" t="s">
        <v>61</v>
      </c>
      <c r="C608" s="18" t="s">
        <v>62</v>
      </c>
      <c r="D608" s="23">
        <v>79</v>
      </c>
      <c r="E608" s="83">
        <v>694</v>
      </c>
    </row>
    <row r="609" spans="1:5" ht="15.6" x14ac:dyDescent="0.3">
      <c r="A609" s="1">
        <f t="shared" si="35"/>
        <v>5</v>
      </c>
      <c r="B609" s="17" t="s">
        <v>110</v>
      </c>
      <c r="C609" s="18" t="s">
        <v>46</v>
      </c>
      <c r="D609" s="23">
        <v>56</v>
      </c>
      <c r="E609" s="83">
        <v>622</v>
      </c>
    </row>
    <row r="610" spans="1:5" ht="15.6" x14ac:dyDescent="0.3">
      <c r="A610" s="1">
        <f t="shared" si="35"/>
        <v>6</v>
      </c>
      <c r="B610" s="17" t="s">
        <v>59</v>
      </c>
      <c r="C610" s="18" t="s">
        <v>60</v>
      </c>
      <c r="D610" s="23">
        <v>52</v>
      </c>
      <c r="E610" s="83">
        <v>601</v>
      </c>
    </row>
    <row r="611" spans="1:5" ht="15.6" x14ac:dyDescent="0.3">
      <c r="A611" s="1">
        <f t="shared" si="35"/>
        <v>7</v>
      </c>
      <c r="B611" s="17" t="s">
        <v>149</v>
      </c>
      <c r="C611" s="18" t="s">
        <v>150</v>
      </c>
      <c r="D611" s="23">
        <v>51</v>
      </c>
      <c r="E611" s="83">
        <v>530</v>
      </c>
    </row>
    <row r="612" spans="1:5" ht="15.6" x14ac:dyDescent="0.3">
      <c r="A612" s="1">
        <f t="shared" si="35"/>
        <v>8</v>
      </c>
      <c r="B612" s="17" t="s">
        <v>185</v>
      </c>
      <c r="C612" s="18" t="s">
        <v>186</v>
      </c>
      <c r="D612" s="23">
        <v>68</v>
      </c>
      <c r="E612" s="83">
        <v>480</v>
      </c>
    </row>
    <row r="613" spans="1:5" ht="15.6" x14ac:dyDescent="0.3">
      <c r="A613" s="1">
        <f t="shared" si="35"/>
        <v>9</v>
      </c>
      <c r="B613" s="17" t="s">
        <v>65</v>
      </c>
      <c r="C613" s="18" t="s">
        <v>50</v>
      </c>
      <c r="D613" s="23">
        <v>48</v>
      </c>
      <c r="E613" s="83">
        <v>442</v>
      </c>
    </row>
    <row r="614" spans="1:5" ht="15.6" x14ac:dyDescent="0.3">
      <c r="A614" s="1">
        <f t="shared" si="35"/>
        <v>10</v>
      </c>
      <c r="B614" s="17" t="s">
        <v>176</v>
      </c>
      <c r="C614" s="18" t="s">
        <v>144</v>
      </c>
      <c r="D614" s="23">
        <v>46</v>
      </c>
      <c r="E614" s="83">
        <v>427</v>
      </c>
    </row>
    <row r="615" spans="1:5" ht="15.6" x14ac:dyDescent="0.3">
      <c r="A615" s="1">
        <f t="shared" si="35"/>
        <v>11</v>
      </c>
      <c r="B615" s="17" t="s">
        <v>172</v>
      </c>
      <c r="C615" s="18" t="s">
        <v>29</v>
      </c>
      <c r="D615" s="23">
        <v>43</v>
      </c>
      <c r="E615" s="83">
        <v>423</v>
      </c>
    </row>
    <row r="616" spans="1:5" ht="15.6" x14ac:dyDescent="0.3">
      <c r="A616" s="1">
        <f t="shared" si="35"/>
        <v>12</v>
      </c>
      <c r="B616" s="17" t="s">
        <v>199</v>
      </c>
      <c r="C616" s="18" t="s">
        <v>106</v>
      </c>
      <c r="D616" s="23">
        <v>76</v>
      </c>
      <c r="E616" s="83">
        <v>406</v>
      </c>
    </row>
    <row r="617" spans="1:5" ht="15.6" x14ac:dyDescent="0.3">
      <c r="A617" s="1">
        <f t="shared" si="35"/>
        <v>13</v>
      </c>
      <c r="B617" s="17" t="s">
        <v>84</v>
      </c>
      <c r="C617" s="18" t="s">
        <v>33</v>
      </c>
      <c r="D617" s="23">
        <v>38</v>
      </c>
      <c r="E617" s="83">
        <v>368</v>
      </c>
    </row>
    <row r="618" spans="1:5" ht="15.6" x14ac:dyDescent="0.3">
      <c r="A618" s="1">
        <f t="shared" si="35"/>
        <v>14</v>
      </c>
      <c r="B618" s="17" t="s">
        <v>120</v>
      </c>
      <c r="C618" s="18" t="s">
        <v>33</v>
      </c>
      <c r="D618" s="23">
        <v>46</v>
      </c>
      <c r="E618" s="83">
        <v>300</v>
      </c>
    </row>
    <row r="619" spans="1:5" ht="15.6" x14ac:dyDescent="0.3">
      <c r="A619" s="1">
        <f t="shared" si="35"/>
        <v>15</v>
      </c>
      <c r="B619" s="26" t="s">
        <v>51</v>
      </c>
      <c r="C619" s="25" t="s">
        <v>52</v>
      </c>
      <c r="D619" s="23">
        <v>27</v>
      </c>
      <c r="E619" s="83">
        <v>283</v>
      </c>
    </row>
    <row r="620" spans="1:5" ht="15.6" x14ac:dyDescent="0.3">
      <c r="A620" s="1">
        <f t="shared" si="35"/>
        <v>16</v>
      </c>
      <c r="B620" s="17" t="s">
        <v>207</v>
      </c>
      <c r="C620" s="18" t="s">
        <v>208</v>
      </c>
      <c r="D620" s="23">
        <v>43</v>
      </c>
      <c r="E620" s="83">
        <v>274</v>
      </c>
    </row>
    <row r="621" spans="1:5" ht="15.6" x14ac:dyDescent="0.3">
      <c r="A621" s="1">
        <f t="shared" si="35"/>
        <v>17</v>
      </c>
      <c r="B621" s="26" t="s">
        <v>47</v>
      </c>
      <c r="C621" s="25" t="s">
        <v>48</v>
      </c>
      <c r="D621" s="23">
        <v>38</v>
      </c>
      <c r="E621" s="83">
        <v>270</v>
      </c>
    </row>
    <row r="622" spans="1:5" ht="15.6" x14ac:dyDescent="0.3">
      <c r="A622" s="1">
        <f t="shared" si="35"/>
        <v>18</v>
      </c>
      <c r="B622" s="17" t="s">
        <v>68</v>
      </c>
      <c r="C622" s="18" t="s">
        <v>60</v>
      </c>
      <c r="D622" s="23">
        <v>44</v>
      </c>
      <c r="E622" s="83">
        <v>257</v>
      </c>
    </row>
    <row r="623" spans="1:5" ht="15.6" x14ac:dyDescent="0.3">
      <c r="A623" s="1">
        <f t="shared" si="35"/>
        <v>19</v>
      </c>
      <c r="B623" s="26" t="s">
        <v>115</v>
      </c>
      <c r="C623" s="25" t="s">
        <v>116</v>
      </c>
      <c r="D623" s="23">
        <v>42</v>
      </c>
      <c r="E623" s="83">
        <v>236</v>
      </c>
    </row>
    <row r="624" spans="1:5" ht="15.6" x14ac:dyDescent="0.3">
      <c r="A624" s="1">
        <f t="shared" si="35"/>
        <v>20</v>
      </c>
      <c r="B624" s="17" t="s">
        <v>132</v>
      </c>
      <c r="C624" s="18" t="s">
        <v>44</v>
      </c>
      <c r="D624" s="23">
        <v>40</v>
      </c>
      <c r="E624" s="83">
        <v>226</v>
      </c>
    </row>
    <row r="625" spans="1:5" ht="15.6" x14ac:dyDescent="0.3">
      <c r="A625" s="1">
        <f t="shared" si="35"/>
        <v>21</v>
      </c>
      <c r="B625" s="17" t="s">
        <v>53</v>
      </c>
      <c r="C625" s="18" t="s">
        <v>54</v>
      </c>
      <c r="D625" s="23">
        <v>26</v>
      </c>
      <c r="E625" s="83">
        <v>221</v>
      </c>
    </row>
    <row r="626" spans="1:5" ht="15.6" x14ac:dyDescent="0.3">
      <c r="A626" s="1">
        <f t="shared" si="35"/>
        <v>22</v>
      </c>
      <c r="B626" s="17" t="s">
        <v>159</v>
      </c>
      <c r="C626" s="18" t="s">
        <v>160</v>
      </c>
      <c r="D626" s="23">
        <v>26</v>
      </c>
      <c r="E626" s="83">
        <v>221</v>
      </c>
    </row>
    <row r="627" spans="1:5" ht="15.6" x14ac:dyDescent="0.3">
      <c r="A627" s="1">
        <f t="shared" si="35"/>
        <v>23</v>
      </c>
      <c r="B627" s="17" t="s">
        <v>205</v>
      </c>
      <c r="C627" s="18" t="s">
        <v>206</v>
      </c>
      <c r="D627" s="23">
        <v>21</v>
      </c>
      <c r="E627" s="83">
        <v>214</v>
      </c>
    </row>
    <row r="628" spans="1:5" ht="15.6" x14ac:dyDescent="0.3">
      <c r="A628" s="1">
        <f t="shared" si="35"/>
        <v>24</v>
      </c>
      <c r="B628" s="17" t="s">
        <v>155</v>
      </c>
      <c r="C628" s="18" t="s">
        <v>156</v>
      </c>
      <c r="D628" s="23">
        <v>42</v>
      </c>
      <c r="E628" s="83">
        <v>210</v>
      </c>
    </row>
    <row r="629" spans="1:5" ht="15.6" x14ac:dyDescent="0.3">
      <c r="A629" s="1">
        <f t="shared" si="35"/>
        <v>25</v>
      </c>
      <c r="B629" s="17" t="s">
        <v>211</v>
      </c>
      <c r="C629" s="18" t="s">
        <v>38</v>
      </c>
      <c r="D629" s="23">
        <v>22</v>
      </c>
      <c r="E629" s="83">
        <v>205</v>
      </c>
    </row>
    <row r="630" spans="1:5" ht="15.6" x14ac:dyDescent="0.3">
      <c r="A630" s="1">
        <f t="shared" si="35"/>
        <v>26</v>
      </c>
      <c r="B630" s="17" t="s">
        <v>22</v>
      </c>
      <c r="C630" s="18" t="s">
        <v>23</v>
      </c>
      <c r="D630" s="23">
        <v>20</v>
      </c>
      <c r="E630" s="83">
        <v>193</v>
      </c>
    </row>
    <row r="631" spans="1:5" ht="15.6" x14ac:dyDescent="0.3">
      <c r="A631" s="1">
        <f t="shared" si="35"/>
        <v>27</v>
      </c>
      <c r="B631" s="17" t="s">
        <v>180</v>
      </c>
      <c r="C631" s="18" t="s">
        <v>181</v>
      </c>
      <c r="D631" s="23">
        <v>41</v>
      </c>
      <c r="E631" s="83">
        <v>185</v>
      </c>
    </row>
    <row r="632" spans="1:5" ht="15.6" x14ac:dyDescent="0.3">
      <c r="A632" s="1">
        <f t="shared" si="35"/>
        <v>28</v>
      </c>
      <c r="B632" s="17" t="s">
        <v>197</v>
      </c>
      <c r="C632" s="18" t="s">
        <v>142</v>
      </c>
      <c r="D632" s="23">
        <v>29</v>
      </c>
      <c r="E632" s="83">
        <v>182</v>
      </c>
    </row>
    <row r="633" spans="1:5" ht="15.6" x14ac:dyDescent="0.3">
      <c r="A633" s="1">
        <f t="shared" si="35"/>
        <v>29</v>
      </c>
      <c r="B633" s="17" t="s">
        <v>118</v>
      </c>
      <c r="C633" s="18" t="s">
        <v>64</v>
      </c>
      <c r="D633" s="23">
        <v>23</v>
      </c>
      <c r="E633" s="83">
        <v>180</v>
      </c>
    </row>
    <row r="634" spans="1:5" ht="15.6" x14ac:dyDescent="0.3">
      <c r="A634" s="1">
        <f t="shared" si="35"/>
        <v>30</v>
      </c>
      <c r="B634" s="17" t="s">
        <v>28</v>
      </c>
      <c r="C634" s="18" t="s">
        <v>29</v>
      </c>
      <c r="D634" s="23">
        <v>35</v>
      </c>
      <c r="E634" s="83">
        <v>169</v>
      </c>
    </row>
    <row r="635" spans="1:5" ht="15.6" x14ac:dyDescent="0.3">
      <c r="A635" s="1">
        <f t="shared" si="35"/>
        <v>31</v>
      </c>
      <c r="B635" s="17" t="s">
        <v>124</v>
      </c>
      <c r="C635" s="18" t="s">
        <v>125</v>
      </c>
      <c r="D635" s="23">
        <v>24</v>
      </c>
      <c r="E635" s="83">
        <v>146</v>
      </c>
    </row>
    <row r="636" spans="1:5" ht="15.6" x14ac:dyDescent="0.3">
      <c r="A636" s="1">
        <f t="shared" si="35"/>
        <v>32</v>
      </c>
      <c r="B636" s="17" t="s">
        <v>117</v>
      </c>
      <c r="C636" s="18" t="s">
        <v>44</v>
      </c>
      <c r="D636" s="23">
        <v>35</v>
      </c>
      <c r="E636" s="83">
        <v>141</v>
      </c>
    </row>
    <row r="637" spans="1:5" ht="15.6" x14ac:dyDescent="0.3">
      <c r="A637" s="1">
        <f t="shared" si="35"/>
        <v>33</v>
      </c>
      <c r="B637" s="26" t="s">
        <v>126</v>
      </c>
      <c r="C637" s="25" t="s">
        <v>127</v>
      </c>
      <c r="D637" s="23">
        <v>21</v>
      </c>
      <c r="E637" s="83">
        <v>138</v>
      </c>
    </row>
    <row r="638" spans="1:5" ht="15.6" x14ac:dyDescent="0.3">
      <c r="A638" s="1">
        <f t="shared" si="35"/>
        <v>34</v>
      </c>
      <c r="B638" s="26" t="s">
        <v>71</v>
      </c>
      <c r="C638" s="25" t="s">
        <v>72</v>
      </c>
      <c r="D638" s="23">
        <v>31</v>
      </c>
      <c r="E638" s="83">
        <v>127</v>
      </c>
    </row>
    <row r="639" spans="1:5" ht="15.6" x14ac:dyDescent="0.3">
      <c r="A639" s="1">
        <f t="shared" si="35"/>
        <v>35</v>
      </c>
      <c r="B639" s="17" t="s">
        <v>190</v>
      </c>
      <c r="C639" s="18" t="s">
        <v>186</v>
      </c>
      <c r="D639" s="23">
        <v>14</v>
      </c>
      <c r="E639" s="83">
        <v>126</v>
      </c>
    </row>
    <row r="640" spans="1:5" ht="15.6" x14ac:dyDescent="0.3">
      <c r="A640" s="1">
        <f t="shared" si="35"/>
        <v>36</v>
      </c>
      <c r="B640" s="17" t="s">
        <v>175</v>
      </c>
      <c r="C640" s="18" t="s">
        <v>50</v>
      </c>
      <c r="D640" s="23">
        <v>20</v>
      </c>
      <c r="E640" s="83">
        <v>119</v>
      </c>
    </row>
    <row r="641" spans="1:5" ht="15.6" x14ac:dyDescent="0.3">
      <c r="A641" s="1">
        <f t="shared" si="35"/>
        <v>37</v>
      </c>
      <c r="B641" s="17" t="s">
        <v>105</v>
      </c>
      <c r="C641" s="18" t="s">
        <v>106</v>
      </c>
      <c r="D641" s="23">
        <v>25</v>
      </c>
      <c r="E641" s="83">
        <v>118</v>
      </c>
    </row>
    <row r="642" spans="1:5" ht="15.6" x14ac:dyDescent="0.3">
      <c r="A642" s="1">
        <f t="shared" si="35"/>
        <v>38</v>
      </c>
      <c r="B642" s="17" t="s">
        <v>202</v>
      </c>
      <c r="C642" s="18" t="s">
        <v>201</v>
      </c>
      <c r="D642" s="23">
        <v>15</v>
      </c>
      <c r="E642" s="83">
        <v>116</v>
      </c>
    </row>
    <row r="643" spans="1:5" ht="15.6" x14ac:dyDescent="0.3">
      <c r="A643" s="1">
        <f t="shared" si="35"/>
        <v>39</v>
      </c>
      <c r="B643" s="26" t="s">
        <v>169</v>
      </c>
      <c r="C643" s="25" t="s">
        <v>170</v>
      </c>
      <c r="D643" s="23">
        <v>17</v>
      </c>
      <c r="E643" s="83">
        <v>108</v>
      </c>
    </row>
    <row r="644" spans="1:5" ht="15.6" x14ac:dyDescent="0.3">
      <c r="A644" s="1">
        <f t="shared" si="35"/>
        <v>40</v>
      </c>
      <c r="B644" s="17" t="s">
        <v>143</v>
      </c>
      <c r="C644" s="18" t="s">
        <v>144</v>
      </c>
      <c r="D644" s="23">
        <v>16</v>
      </c>
      <c r="E644" s="83">
        <v>100</v>
      </c>
    </row>
    <row r="645" spans="1:5" ht="15.6" x14ac:dyDescent="0.3">
      <c r="A645" s="1">
        <f t="shared" si="35"/>
        <v>41</v>
      </c>
      <c r="B645" s="17" t="s">
        <v>96</v>
      </c>
      <c r="C645" s="18" t="s">
        <v>97</v>
      </c>
      <c r="D645" s="23">
        <v>20</v>
      </c>
      <c r="E645" s="83">
        <v>99</v>
      </c>
    </row>
    <row r="646" spans="1:5" ht="15.6" x14ac:dyDescent="0.3">
      <c r="A646" s="1">
        <f t="shared" si="35"/>
        <v>42</v>
      </c>
      <c r="B646" s="17" t="s">
        <v>119</v>
      </c>
      <c r="C646" s="18" t="s">
        <v>70</v>
      </c>
      <c r="D646" s="23">
        <v>25</v>
      </c>
      <c r="E646" s="83">
        <v>95</v>
      </c>
    </row>
    <row r="647" spans="1:5" ht="15.6" x14ac:dyDescent="0.3">
      <c r="A647" s="1">
        <f t="shared" si="35"/>
        <v>43</v>
      </c>
      <c r="B647" s="17" t="s">
        <v>216</v>
      </c>
      <c r="C647" s="18" t="s">
        <v>42</v>
      </c>
      <c r="D647" s="23">
        <v>16</v>
      </c>
      <c r="E647" s="83">
        <v>92</v>
      </c>
    </row>
    <row r="648" spans="1:5" ht="15.6" x14ac:dyDescent="0.3">
      <c r="A648" s="1">
        <f t="shared" si="35"/>
        <v>44</v>
      </c>
      <c r="B648" s="17" t="s">
        <v>30</v>
      </c>
      <c r="C648" s="18" t="s">
        <v>31</v>
      </c>
      <c r="D648" s="23">
        <v>34</v>
      </c>
      <c r="E648" s="83">
        <v>90</v>
      </c>
    </row>
    <row r="649" spans="1:5" ht="15.6" x14ac:dyDescent="0.3">
      <c r="A649" s="1">
        <f t="shared" si="35"/>
        <v>45</v>
      </c>
      <c r="B649" s="26" t="s">
        <v>169</v>
      </c>
      <c r="C649" s="25" t="s">
        <v>171</v>
      </c>
      <c r="D649" s="23">
        <v>24</v>
      </c>
      <c r="E649" s="83">
        <v>90</v>
      </c>
    </row>
    <row r="650" spans="1:5" ht="15.6" x14ac:dyDescent="0.3">
      <c r="A650" s="1">
        <f t="shared" si="35"/>
        <v>46</v>
      </c>
      <c r="B650" s="26" t="s">
        <v>37</v>
      </c>
      <c r="C650" s="25" t="s">
        <v>38</v>
      </c>
      <c r="D650" s="23">
        <v>18</v>
      </c>
      <c r="E650" s="83">
        <v>78</v>
      </c>
    </row>
    <row r="651" spans="1:5" ht="15.6" x14ac:dyDescent="0.3">
      <c r="A651" s="1">
        <f t="shared" si="35"/>
        <v>47</v>
      </c>
      <c r="B651" s="17" t="s">
        <v>80</v>
      </c>
      <c r="C651" s="18" t="s">
        <v>81</v>
      </c>
      <c r="D651" s="23">
        <v>15</v>
      </c>
      <c r="E651" s="83">
        <v>77</v>
      </c>
    </row>
    <row r="652" spans="1:5" ht="15.6" x14ac:dyDescent="0.3">
      <c r="A652" s="1">
        <f t="shared" si="35"/>
        <v>48</v>
      </c>
      <c r="B652" s="17" t="s">
        <v>20</v>
      </c>
      <c r="C652" s="18" t="s">
        <v>21</v>
      </c>
      <c r="D652" s="23">
        <v>23</v>
      </c>
      <c r="E652" s="83">
        <v>70</v>
      </c>
    </row>
    <row r="653" spans="1:5" ht="15.6" x14ac:dyDescent="0.3">
      <c r="A653" s="1">
        <f t="shared" si="35"/>
        <v>49</v>
      </c>
      <c r="B653" s="17" t="s">
        <v>43</v>
      </c>
      <c r="C653" s="18" t="s">
        <v>44</v>
      </c>
      <c r="D653" s="23">
        <v>18</v>
      </c>
      <c r="E653" s="83">
        <v>66</v>
      </c>
    </row>
    <row r="654" spans="1:5" ht="15.6" x14ac:dyDescent="0.3">
      <c r="A654" s="1">
        <f t="shared" si="35"/>
        <v>50</v>
      </c>
      <c r="B654" s="17" t="s">
        <v>131</v>
      </c>
      <c r="C654" s="18" t="s">
        <v>70</v>
      </c>
      <c r="D654" s="23">
        <v>18</v>
      </c>
      <c r="E654" s="83">
        <v>56</v>
      </c>
    </row>
    <row r="655" spans="1:5" ht="15.6" x14ac:dyDescent="0.3">
      <c r="A655" s="1">
        <f t="shared" si="35"/>
        <v>51</v>
      </c>
      <c r="B655" s="17" t="s">
        <v>151</v>
      </c>
      <c r="C655" s="18" t="s">
        <v>152</v>
      </c>
      <c r="D655" s="23">
        <v>29</v>
      </c>
      <c r="E655" s="83">
        <v>53</v>
      </c>
    </row>
    <row r="656" spans="1:5" ht="15.6" x14ac:dyDescent="0.3">
      <c r="A656" s="1">
        <f t="shared" si="35"/>
        <v>52</v>
      </c>
      <c r="B656" s="17" t="s">
        <v>145</v>
      </c>
      <c r="C656" s="18" t="s">
        <v>146</v>
      </c>
      <c r="D656" s="23">
        <v>13</v>
      </c>
      <c r="E656" s="83">
        <v>52</v>
      </c>
    </row>
    <row r="657" spans="1:5" ht="15.6" x14ac:dyDescent="0.3">
      <c r="A657" s="1">
        <f t="shared" si="35"/>
        <v>53</v>
      </c>
      <c r="B657" s="17" t="s">
        <v>18</v>
      </c>
      <c r="C657" s="18" t="s">
        <v>19</v>
      </c>
      <c r="D657" s="23">
        <v>11</v>
      </c>
      <c r="E657" s="83">
        <v>41</v>
      </c>
    </row>
    <row r="658" spans="1:5" ht="15.6" x14ac:dyDescent="0.3">
      <c r="A658" s="1">
        <f t="shared" si="35"/>
        <v>54</v>
      </c>
      <c r="B658" s="17" t="s">
        <v>75</v>
      </c>
      <c r="C658" s="18" t="s">
        <v>76</v>
      </c>
      <c r="D658" s="23">
        <v>11</v>
      </c>
      <c r="E658" s="83">
        <v>39</v>
      </c>
    </row>
    <row r="659" spans="1:5" ht="15.6" x14ac:dyDescent="0.3">
      <c r="A659" s="1">
        <f t="shared" si="35"/>
        <v>55</v>
      </c>
      <c r="B659" s="17" t="s">
        <v>91</v>
      </c>
      <c r="C659" s="18" t="s">
        <v>92</v>
      </c>
      <c r="D659" s="23">
        <v>6</v>
      </c>
      <c r="E659" s="83">
        <v>38</v>
      </c>
    </row>
    <row r="660" spans="1:5" ht="15.6" x14ac:dyDescent="0.3">
      <c r="A660" s="1">
        <f t="shared" si="35"/>
        <v>56</v>
      </c>
      <c r="B660" s="17" t="s">
        <v>130</v>
      </c>
      <c r="C660" s="18" t="s">
        <v>106</v>
      </c>
      <c r="D660" s="23">
        <v>10</v>
      </c>
      <c r="E660" s="83">
        <v>30</v>
      </c>
    </row>
    <row r="661" spans="1:5" ht="15.6" x14ac:dyDescent="0.3">
      <c r="A661" s="1">
        <f t="shared" si="35"/>
        <v>57</v>
      </c>
      <c r="B661" s="17" t="s">
        <v>212</v>
      </c>
      <c r="C661" s="77" t="s">
        <v>213</v>
      </c>
      <c r="D661" s="84">
        <v>4</v>
      </c>
      <c r="E661" s="85">
        <v>25</v>
      </c>
    </row>
    <row r="662" spans="1:5" ht="15.6" x14ac:dyDescent="0.3">
      <c r="A662" s="1">
        <f t="shared" si="35"/>
        <v>58</v>
      </c>
      <c r="B662" s="26" t="s">
        <v>191</v>
      </c>
      <c r="C662" s="25" t="s">
        <v>52</v>
      </c>
      <c r="D662" s="23">
        <v>16</v>
      </c>
      <c r="E662" s="83">
        <v>20</v>
      </c>
    </row>
    <row r="663" spans="1:5" ht="15.6" x14ac:dyDescent="0.3">
      <c r="A663" s="1">
        <f t="shared" si="35"/>
        <v>59</v>
      </c>
      <c r="B663" s="26" t="s">
        <v>32</v>
      </c>
      <c r="C663" s="25" t="s">
        <v>33</v>
      </c>
      <c r="D663" s="23">
        <v>5</v>
      </c>
      <c r="E663" s="83">
        <v>14</v>
      </c>
    </row>
    <row r="664" spans="1:5" ht="15.6" x14ac:dyDescent="0.3">
      <c r="A664" s="1">
        <f t="shared" si="35"/>
        <v>60</v>
      </c>
      <c r="B664" s="26" t="s">
        <v>82</v>
      </c>
      <c r="C664" s="25" t="s">
        <v>83</v>
      </c>
      <c r="D664" s="23">
        <v>5</v>
      </c>
      <c r="E664" s="83">
        <v>14</v>
      </c>
    </row>
    <row r="665" spans="1:5" ht="15.6" x14ac:dyDescent="0.3">
      <c r="A665" s="1">
        <v>61</v>
      </c>
      <c r="B665" s="17" t="s">
        <v>153</v>
      </c>
      <c r="C665" s="18" t="s">
        <v>50</v>
      </c>
      <c r="D665" s="23">
        <v>6</v>
      </c>
      <c r="E665" s="83">
        <v>14</v>
      </c>
    </row>
    <row r="666" spans="1:5" ht="15.6" x14ac:dyDescent="0.3">
      <c r="A666" s="1">
        <f>A665+1</f>
        <v>62</v>
      </c>
      <c r="B666" s="17" t="s">
        <v>168</v>
      </c>
      <c r="C666" s="18" t="s">
        <v>29</v>
      </c>
      <c r="D666" s="23">
        <v>9</v>
      </c>
      <c r="E666" s="83">
        <v>10</v>
      </c>
    </row>
    <row r="667" spans="1:5" ht="15.6" x14ac:dyDescent="0.3">
      <c r="A667" s="1">
        <f t="shared" si="35"/>
        <v>63</v>
      </c>
      <c r="B667" s="17" t="s">
        <v>159</v>
      </c>
      <c r="C667" s="18" t="s">
        <v>161</v>
      </c>
      <c r="D667" s="23">
        <v>6</v>
      </c>
      <c r="E667" s="83">
        <v>7</v>
      </c>
    </row>
    <row r="668" spans="1:5" ht="15.6" x14ac:dyDescent="0.3">
      <c r="A668" s="1">
        <f t="shared" si="35"/>
        <v>64</v>
      </c>
      <c r="B668" s="17" t="s">
        <v>179</v>
      </c>
      <c r="C668" s="18" t="s">
        <v>142</v>
      </c>
      <c r="D668" s="23">
        <v>7</v>
      </c>
      <c r="E668" s="83">
        <v>7</v>
      </c>
    </row>
    <row r="669" spans="1:5" ht="15.6" x14ac:dyDescent="0.3">
      <c r="A669" s="1">
        <f t="shared" si="35"/>
        <v>65</v>
      </c>
      <c r="B669" s="26" t="s">
        <v>141</v>
      </c>
      <c r="C669" s="25" t="s">
        <v>142</v>
      </c>
      <c r="D669" s="23">
        <v>5</v>
      </c>
      <c r="E669" s="83">
        <v>5</v>
      </c>
    </row>
    <row r="670" spans="1:5" ht="15.6" x14ac:dyDescent="0.3">
      <c r="A670" s="1">
        <f t="shared" si="35"/>
        <v>66</v>
      </c>
      <c r="B670" s="26" t="s">
        <v>107</v>
      </c>
      <c r="C670" s="25" t="s">
        <v>108</v>
      </c>
      <c r="D670" s="23">
        <v>3</v>
      </c>
      <c r="E670" s="83">
        <v>3</v>
      </c>
    </row>
    <row r="671" spans="1:5" ht="15.6" x14ac:dyDescent="0.3">
      <c r="A671" s="1">
        <v>66</v>
      </c>
      <c r="B671" s="26" t="s">
        <v>134</v>
      </c>
      <c r="C671" s="25" t="s">
        <v>135</v>
      </c>
      <c r="D671" s="23">
        <v>4</v>
      </c>
      <c r="E671" s="83">
        <v>3</v>
      </c>
    </row>
    <row r="672" spans="1:5" ht="16.2" thickBot="1" x14ac:dyDescent="0.35">
      <c r="A672" s="1">
        <v>67</v>
      </c>
      <c r="B672" s="79" t="s">
        <v>167</v>
      </c>
      <c r="C672" s="43" t="s">
        <v>99</v>
      </c>
      <c r="D672" s="39">
        <v>5</v>
      </c>
      <c r="E672" s="86">
        <v>2</v>
      </c>
    </row>
    <row r="674" spans="1:6" ht="15.6" customHeight="1" x14ac:dyDescent="0.3">
      <c r="B674" s="52" t="s">
        <v>224</v>
      </c>
      <c r="C674" s="52"/>
      <c r="D674" s="52"/>
      <c r="E674" s="52"/>
      <c r="F674" s="52"/>
    </row>
    <row r="675" spans="1:6" ht="18.600000000000001" customHeight="1" thickBot="1" x14ac:dyDescent="0.35">
      <c r="B675" s="53"/>
      <c r="C675" s="53"/>
      <c r="D675" s="53"/>
      <c r="E675" s="53"/>
      <c r="F675" s="53"/>
    </row>
    <row r="676" spans="1:6" x14ac:dyDescent="0.3">
      <c r="A676" s="2"/>
      <c r="B676" s="45" t="s">
        <v>1</v>
      </c>
      <c r="C676" s="47" t="s">
        <v>2</v>
      </c>
      <c r="D676" s="71" t="s">
        <v>13</v>
      </c>
      <c r="E676" s="89"/>
      <c r="F676" s="90" t="s">
        <v>220</v>
      </c>
    </row>
    <row r="677" spans="1:6" ht="15" thickBot="1" x14ac:dyDescent="0.35">
      <c r="A677" s="2"/>
      <c r="B677" s="46"/>
      <c r="C677" s="48"/>
      <c r="D677" s="73" t="s">
        <v>16</v>
      </c>
      <c r="E677" s="91" t="s">
        <v>17</v>
      </c>
      <c r="F677" s="92"/>
    </row>
    <row r="678" spans="1:6" ht="15.6" x14ac:dyDescent="0.3">
      <c r="A678" s="1">
        <v>1</v>
      </c>
      <c r="B678" s="17" t="s">
        <v>101</v>
      </c>
      <c r="C678" s="18" t="s">
        <v>70</v>
      </c>
      <c r="D678" s="23">
        <v>86</v>
      </c>
      <c r="E678" s="25">
        <v>1433</v>
      </c>
      <c r="F678" s="87">
        <f t="shared" ref="F678:F741" si="36">E678/D678</f>
        <v>16.662790697674417</v>
      </c>
    </row>
    <row r="679" spans="1:6" ht="15.6" x14ac:dyDescent="0.3">
      <c r="A679" s="1">
        <f>A678+1</f>
        <v>2</v>
      </c>
      <c r="B679" s="17" t="s">
        <v>55</v>
      </c>
      <c r="C679" s="18" t="s">
        <v>56</v>
      </c>
      <c r="D679" s="23">
        <v>104</v>
      </c>
      <c r="E679" s="25">
        <v>1650</v>
      </c>
      <c r="F679" s="87">
        <f t="shared" si="36"/>
        <v>15.865384615384615</v>
      </c>
    </row>
    <row r="680" spans="1:6" ht="15.6" x14ac:dyDescent="0.3">
      <c r="A680" s="1">
        <f t="shared" ref="A680:A743" si="37">A679+1</f>
        <v>3</v>
      </c>
      <c r="B680" s="17" t="s">
        <v>34</v>
      </c>
      <c r="C680" s="18" t="s">
        <v>36</v>
      </c>
      <c r="D680" s="23">
        <v>70</v>
      </c>
      <c r="E680" s="25">
        <v>1037</v>
      </c>
      <c r="F680" s="87">
        <f t="shared" si="36"/>
        <v>14.814285714285715</v>
      </c>
    </row>
    <row r="681" spans="1:6" ht="15.6" x14ac:dyDescent="0.3">
      <c r="A681" s="1">
        <f t="shared" si="37"/>
        <v>4</v>
      </c>
      <c r="B681" s="17" t="s">
        <v>59</v>
      </c>
      <c r="C681" s="18" t="s">
        <v>60</v>
      </c>
      <c r="D681" s="23">
        <v>52</v>
      </c>
      <c r="E681" s="25">
        <v>601</v>
      </c>
      <c r="F681" s="87">
        <f t="shared" si="36"/>
        <v>11.557692307692308</v>
      </c>
    </row>
    <row r="682" spans="1:6" ht="15.6" x14ac:dyDescent="0.3">
      <c r="A682" s="1">
        <f t="shared" si="37"/>
        <v>5</v>
      </c>
      <c r="B682" s="17" t="s">
        <v>110</v>
      </c>
      <c r="C682" s="18" t="s">
        <v>46</v>
      </c>
      <c r="D682" s="23">
        <v>56</v>
      </c>
      <c r="E682" s="25">
        <v>622</v>
      </c>
      <c r="F682" s="87">
        <f t="shared" si="36"/>
        <v>11.107142857142858</v>
      </c>
    </row>
    <row r="683" spans="1:6" ht="15.6" x14ac:dyDescent="0.3">
      <c r="A683" s="1">
        <f t="shared" si="37"/>
        <v>6</v>
      </c>
      <c r="B683" s="26" t="s">
        <v>51</v>
      </c>
      <c r="C683" s="25" t="s">
        <v>52</v>
      </c>
      <c r="D683" s="23">
        <v>27</v>
      </c>
      <c r="E683" s="25">
        <v>283</v>
      </c>
      <c r="F683" s="87">
        <f t="shared" si="36"/>
        <v>10.481481481481481</v>
      </c>
    </row>
    <row r="684" spans="1:6" ht="15.6" x14ac:dyDescent="0.3">
      <c r="A684" s="1">
        <f t="shared" si="37"/>
        <v>7</v>
      </c>
      <c r="B684" s="17" t="s">
        <v>149</v>
      </c>
      <c r="C684" s="18" t="s">
        <v>150</v>
      </c>
      <c r="D684" s="23">
        <v>51</v>
      </c>
      <c r="E684" s="25">
        <v>530</v>
      </c>
      <c r="F684" s="87">
        <f t="shared" si="36"/>
        <v>10.392156862745098</v>
      </c>
    </row>
    <row r="685" spans="1:6" ht="15.6" x14ac:dyDescent="0.3">
      <c r="A685" s="1">
        <f t="shared" si="37"/>
        <v>8</v>
      </c>
      <c r="B685" s="17" t="s">
        <v>205</v>
      </c>
      <c r="C685" s="18" t="s">
        <v>206</v>
      </c>
      <c r="D685" s="23">
        <v>21</v>
      </c>
      <c r="E685" s="25">
        <v>214</v>
      </c>
      <c r="F685" s="87">
        <f t="shared" si="36"/>
        <v>10.19047619047619</v>
      </c>
    </row>
    <row r="686" spans="1:6" ht="15.6" x14ac:dyDescent="0.3">
      <c r="A686" s="1">
        <f t="shared" si="37"/>
        <v>9</v>
      </c>
      <c r="B686" s="17" t="s">
        <v>172</v>
      </c>
      <c r="C686" s="18" t="s">
        <v>29</v>
      </c>
      <c r="D686" s="23">
        <v>43</v>
      </c>
      <c r="E686" s="25">
        <v>423</v>
      </c>
      <c r="F686" s="87">
        <f t="shared" si="36"/>
        <v>9.8372093023255811</v>
      </c>
    </row>
    <row r="687" spans="1:6" ht="15.6" x14ac:dyDescent="0.3">
      <c r="A687" s="1">
        <f t="shared" si="37"/>
        <v>10</v>
      </c>
      <c r="B687" s="17" t="s">
        <v>84</v>
      </c>
      <c r="C687" s="18" t="s">
        <v>33</v>
      </c>
      <c r="D687" s="23">
        <v>38</v>
      </c>
      <c r="E687" s="25">
        <v>368</v>
      </c>
      <c r="F687" s="87">
        <f t="shared" si="36"/>
        <v>9.6842105263157894</v>
      </c>
    </row>
    <row r="688" spans="1:6" ht="15.6" x14ac:dyDescent="0.3">
      <c r="A688" s="1">
        <f t="shared" si="37"/>
        <v>11</v>
      </c>
      <c r="B688" s="17" t="s">
        <v>22</v>
      </c>
      <c r="C688" s="18" t="s">
        <v>23</v>
      </c>
      <c r="D688" s="23">
        <v>20</v>
      </c>
      <c r="E688" s="25">
        <v>193</v>
      </c>
      <c r="F688" s="87">
        <f t="shared" si="36"/>
        <v>9.65</v>
      </c>
    </row>
    <row r="689" spans="1:6" ht="15.6" x14ac:dyDescent="0.3">
      <c r="A689" s="1">
        <f t="shared" si="37"/>
        <v>12</v>
      </c>
      <c r="B689" s="17" t="s">
        <v>211</v>
      </c>
      <c r="C689" s="18" t="s">
        <v>38</v>
      </c>
      <c r="D689" s="23">
        <v>22</v>
      </c>
      <c r="E689" s="25">
        <v>205</v>
      </c>
      <c r="F689" s="87">
        <f t="shared" si="36"/>
        <v>9.3181818181818183</v>
      </c>
    </row>
    <row r="690" spans="1:6" ht="15.6" x14ac:dyDescent="0.3">
      <c r="A690" s="1">
        <f t="shared" si="37"/>
        <v>13</v>
      </c>
      <c r="B690" s="17" t="s">
        <v>176</v>
      </c>
      <c r="C690" s="18" t="s">
        <v>144</v>
      </c>
      <c r="D690" s="23">
        <v>46</v>
      </c>
      <c r="E690" s="25">
        <v>427</v>
      </c>
      <c r="F690" s="87">
        <f t="shared" si="36"/>
        <v>9.2826086956521738</v>
      </c>
    </row>
    <row r="691" spans="1:6" ht="15.6" x14ac:dyDescent="0.3">
      <c r="A691" s="1">
        <f t="shared" si="37"/>
        <v>14</v>
      </c>
      <c r="B691" s="17" t="s">
        <v>65</v>
      </c>
      <c r="C691" s="18" t="s">
        <v>50</v>
      </c>
      <c r="D691" s="23">
        <v>48</v>
      </c>
      <c r="E691" s="25">
        <v>442</v>
      </c>
      <c r="F691" s="87">
        <f t="shared" si="36"/>
        <v>9.2083333333333339</v>
      </c>
    </row>
    <row r="692" spans="1:6" ht="15.6" x14ac:dyDescent="0.3">
      <c r="A692" s="1">
        <f t="shared" si="37"/>
        <v>15</v>
      </c>
      <c r="B692" s="17" t="s">
        <v>190</v>
      </c>
      <c r="C692" s="18" t="s">
        <v>186</v>
      </c>
      <c r="D692" s="23">
        <v>14</v>
      </c>
      <c r="E692" s="25">
        <v>126</v>
      </c>
      <c r="F692" s="87">
        <f t="shared" si="36"/>
        <v>9</v>
      </c>
    </row>
    <row r="693" spans="1:6" ht="15.6" x14ac:dyDescent="0.3">
      <c r="A693" s="1">
        <f t="shared" si="37"/>
        <v>16</v>
      </c>
      <c r="B693" s="17" t="s">
        <v>61</v>
      </c>
      <c r="C693" s="18" t="s">
        <v>62</v>
      </c>
      <c r="D693" s="23">
        <v>79</v>
      </c>
      <c r="E693" s="25">
        <v>694</v>
      </c>
      <c r="F693" s="87">
        <f t="shared" si="36"/>
        <v>8.7848101265822791</v>
      </c>
    </row>
    <row r="694" spans="1:6" ht="15.6" x14ac:dyDescent="0.3">
      <c r="A694" s="1">
        <f t="shared" si="37"/>
        <v>17</v>
      </c>
      <c r="B694" s="17" t="s">
        <v>53</v>
      </c>
      <c r="C694" s="18" t="s">
        <v>54</v>
      </c>
      <c r="D694" s="23">
        <v>26</v>
      </c>
      <c r="E694" s="25">
        <v>221</v>
      </c>
      <c r="F694" s="87">
        <f t="shared" si="36"/>
        <v>8.5</v>
      </c>
    </row>
    <row r="695" spans="1:6" ht="15.6" x14ac:dyDescent="0.3">
      <c r="A695" s="1">
        <f t="shared" si="37"/>
        <v>18</v>
      </c>
      <c r="B695" s="17" t="s">
        <v>159</v>
      </c>
      <c r="C695" s="18" t="s">
        <v>160</v>
      </c>
      <c r="D695" s="23">
        <v>26</v>
      </c>
      <c r="E695" s="25">
        <v>221</v>
      </c>
      <c r="F695" s="87">
        <f t="shared" si="36"/>
        <v>8.5</v>
      </c>
    </row>
    <row r="696" spans="1:6" ht="15.6" x14ac:dyDescent="0.3">
      <c r="A696" s="1">
        <f t="shared" si="37"/>
        <v>19</v>
      </c>
      <c r="B696" s="17" t="s">
        <v>118</v>
      </c>
      <c r="C696" s="18" t="s">
        <v>64</v>
      </c>
      <c r="D696" s="23">
        <v>23</v>
      </c>
      <c r="E696" s="25">
        <v>180</v>
      </c>
      <c r="F696" s="87">
        <f t="shared" si="36"/>
        <v>7.8260869565217392</v>
      </c>
    </row>
    <row r="697" spans="1:6" ht="15.6" x14ac:dyDescent="0.3">
      <c r="A697" s="1">
        <f t="shared" si="37"/>
        <v>20</v>
      </c>
      <c r="B697" s="17" t="s">
        <v>202</v>
      </c>
      <c r="C697" s="18" t="s">
        <v>201</v>
      </c>
      <c r="D697" s="23">
        <v>15</v>
      </c>
      <c r="E697" s="25">
        <v>116</v>
      </c>
      <c r="F697" s="87">
        <f t="shared" si="36"/>
        <v>7.7333333333333334</v>
      </c>
    </row>
    <row r="698" spans="1:6" ht="15.6" x14ac:dyDescent="0.3">
      <c r="A698" s="1">
        <f t="shared" si="37"/>
        <v>21</v>
      </c>
      <c r="B698" s="26" t="s">
        <v>47</v>
      </c>
      <c r="C698" s="25" t="s">
        <v>48</v>
      </c>
      <c r="D698" s="23">
        <v>38</v>
      </c>
      <c r="E698" s="25">
        <v>270</v>
      </c>
      <c r="F698" s="87">
        <f t="shared" si="36"/>
        <v>7.1052631578947372</v>
      </c>
    </row>
    <row r="699" spans="1:6" ht="15.6" x14ac:dyDescent="0.3">
      <c r="A699" s="1">
        <f t="shared" si="37"/>
        <v>22</v>
      </c>
      <c r="B699" s="17" t="s">
        <v>185</v>
      </c>
      <c r="C699" s="18" t="s">
        <v>186</v>
      </c>
      <c r="D699" s="23">
        <v>68</v>
      </c>
      <c r="E699" s="25">
        <v>480</v>
      </c>
      <c r="F699" s="87">
        <f t="shared" si="36"/>
        <v>7.0588235294117645</v>
      </c>
    </row>
    <row r="700" spans="1:6" ht="15.6" x14ac:dyDescent="0.3">
      <c r="A700" s="1">
        <f t="shared" si="37"/>
        <v>23</v>
      </c>
      <c r="B700" s="26" t="s">
        <v>126</v>
      </c>
      <c r="C700" s="25" t="s">
        <v>127</v>
      </c>
      <c r="D700" s="23">
        <v>21</v>
      </c>
      <c r="E700" s="25">
        <v>138</v>
      </c>
      <c r="F700" s="87">
        <f t="shared" si="36"/>
        <v>6.5714285714285712</v>
      </c>
    </row>
    <row r="701" spans="1:6" ht="15.6" x14ac:dyDescent="0.3">
      <c r="A701" s="1">
        <f t="shared" si="37"/>
        <v>24</v>
      </c>
      <c r="B701" s="17" t="s">
        <v>120</v>
      </c>
      <c r="C701" s="18" t="s">
        <v>33</v>
      </c>
      <c r="D701" s="23">
        <v>46</v>
      </c>
      <c r="E701" s="25">
        <v>300</v>
      </c>
      <c r="F701" s="87">
        <f t="shared" si="36"/>
        <v>6.5217391304347823</v>
      </c>
    </row>
    <row r="702" spans="1:6" ht="15.6" x14ac:dyDescent="0.3">
      <c r="A702" s="1">
        <f t="shared" si="37"/>
        <v>25</v>
      </c>
      <c r="B702" s="17" t="s">
        <v>207</v>
      </c>
      <c r="C702" s="18" t="s">
        <v>208</v>
      </c>
      <c r="D702" s="23">
        <v>43</v>
      </c>
      <c r="E702" s="25">
        <v>274</v>
      </c>
      <c r="F702" s="87">
        <f t="shared" si="36"/>
        <v>6.3720930232558137</v>
      </c>
    </row>
    <row r="703" spans="1:6" ht="15.6" x14ac:dyDescent="0.3">
      <c r="A703" s="1">
        <f t="shared" si="37"/>
        <v>26</v>
      </c>
      <c r="B703" s="26" t="s">
        <v>169</v>
      </c>
      <c r="C703" s="25" t="s">
        <v>170</v>
      </c>
      <c r="D703" s="23">
        <v>17</v>
      </c>
      <c r="E703" s="25">
        <v>108</v>
      </c>
      <c r="F703" s="87">
        <f t="shared" si="36"/>
        <v>6.3529411764705879</v>
      </c>
    </row>
    <row r="704" spans="1:6" ht="15.6" x14ac:dyDescent="0.3">
      <c r="A704" s="1">
        <f t="shared" si="37"/>
        <v>27</v>
      </c>
      <c r="B704" s="17" t="s">
        <v>91</v>
      </c>
      <c r="C704" s="18" t="s">
        <v>92</v>
      </c>
      <c r="D704" s="23">
        <v>6</v>
      </c>
      <c r="E704" s="25">
        <v>38</v>
      </c>
      <c r="F704" s="87">
        <f t="shared" si="36"/>
        <v>6.333333333333333</v>
      </c>
    </row>
    <row r="705" spans="1:6" ht="15.6" x14ac:dyDescent="0.3">
      <c r="A705" s="1">
        <f t="shared" si="37"/>
        <v>28</v>
      </c>
      <c r="B705" s="17" t="s">
        <v>197</v>
      </c>
      <c r="C705" s="18" t="s">
        <v>142</v>
      </c>
      <c r="D705" s="23">
        <v>29</v>
      </c>
      <c r="E705" s="25">
        <v>182</v>
      </c>
      <c r="F705" s="87">
        <f t="shared" si="36"/>
        <v>6.2758620689655169</v>
      </c>
    </row>
    <row r="706" spans="1:6" ht="15.6" x14ac:dyDescent="0.3">
      <c r="A706" s="1">
        <f t="shared" si="37"/>
        <v>29</v>
      </c>
      <c r="B706" s="17" t="s">
        <v>143</v>
      </c>
      <c r="C706" s="18" t="s">
        <v>144</v>
      </c>
      <c r="D706" s="23">
        <v>16</v>
      </c>
      <c r="E706" s="25">
        <v>100</v>
      </c>
      <c r="F706" s="87">
        <f t="shared" si="36"/>
        <v>6.25</v>
      </c>
    </row>
    <row r="707" spans="1:6" ht="15.6" x14ac:dyDescent="0.3">
      <c r="A707" s="1">
        <f t="shared" si="37"/>
        <v>30</v>
      </c>
      <c r="B707" s="17" t="s">
        <v>212</v>
      </c>
      <c r="C707" s="77" t="s">
        <v>213</v>
      </c>
      <c r="D707" s="84">
        <v>4</v>
      </c>
      <c r="E707" s="20">
        <v>25</v>
      </c>
      <c r="F707" s="88">
        <f t="shared" si="36"/>
        <v>6.25</v>
      </c>
    </row>
    <row r="708" spans="1:6" ht="15.6" x14ac:dyDescent="0.3">
      <c r="A708" s="1">
        <f t="shared" si="37"/>
        <v>31</v>
      </c>
      <c r="B708" s="17" t="s">
        <v>124</v>
      </c>
      <c r="C708" s="18" t="s">
        <v>125</v>
      </c>
      <c r="D708" s="23">
        <v>24</v>
      </c>
      <c r="E708" s="25">
        <v>146</v>
      </c>
      <c r="F708" s="87">
        <f t="shared" si="36"/>
        <v>6.083333333333333</v>
      </c>
    </row>
    <row r="709" spans="1:6" ht="15.6" x14ac:dyDescent="0.3">
      <c r="A709" s="1">
        <f t="shared" si="37"/>
        <v>32</v>
      </c>
      <c r="B709" s="17" t="s">
        <v>175</v>
      </c>
      <c r="C709" s="18" t="s">
        <v>50</v>
      </c>
      <c r="D709" s="23">
        <v>20</v>
      </c>
      <c r="E709" s="25">
        <v>119</v>
      </c>
      <c r="F709" s="87">
        <f t="shared" si="36"/>
        <v>5.95</v>
      </c>
    </row>
    <row r="710" spans="1:6" ht="15.6" x14ac:dyDescent="0.3">
      <c r="A710" s="1">
        <f t="shared" si="37"/>
        <v>33</v>
      </c>
      <c r="B710" s="17" t="s">
        <v>68</v>
      </c>
      <c r="C710" s="18" t="s">
        <v>60</v>
      </c>
      <c r="D710" s="23">
        <v>44</v>
      </c>
      <c r="E710" s="25">
        <v>257</v>
      </c>
      <c r="F710" s="87">
        <f t="shared" si="36"/>
        <v>5.8409090909090908</v>
      </c>
    </row>
    <row r="711" spans="1:6" ht="15.6" x14ac:dyDescent="0.3">
      <c r="A711" s="1">
        <f t="shared" si="37"/>
        <v>34</v>
      </c>
      <c r="B711" s="17" t="s">
        <v>216</v>
      </c>
      <c r="C711" s="18" t="s">
        <v>42</v>
      </c>
      <c r="D711" s="23">
        <v>16</v>
      </c>
      <c r="E711" s="25">
        <v>92</v>
      </c>
      <c r="F711" s="87">
        <f t="shared" si="36"/>
        <v>5.75</v>
      </c>
    </row>
    <row r="712" spans="1:6" ht="15.6" x14ac:dyDescent="0.3">
      <c r="A712" s="1">
        <f t="shared" si="37"/>
        <v>35</v>
      </c>
      <c r="B712" s="17" t="s">
        <v>132</v>
      </c>
      <c r="C712" s="18" t="s">
        <v>44</v>
      </c>
      <c r="D712" s="23">
        <v>40</v>
      </c>
      <c r="E712" s="25">
        <v>226</v>
      </c>
      <c r="F712" s="87">
        <f t="shared" si="36"/>
        <v>5.65</v>
      </c>
    </row>
    <row r="713" spans="1:6" ht="15.6" x14ac:dyDescent="0.3">
      <c r="A713" s="1">
        <f t="shared" si="37"/>
        <v>36</v>
      </c>
      <c r="B713" s="26" t="s">
        <v>115</v>
      </c>
      <c r="C713" s="25" t="s">
        <v>116</v>
      </c>
      <c r="D713" s="23">
        <v>42</v>
      </c>
      <c r="E713" s="25">
        <v>236</v>
      </c>
      <c r="F713" s="87">
        <f t="shared" si="36"/>
        <v>5.6190476190476186</v>
      </c>
    </row>
    <row r="714" spans="1:6" ht="15.6" x14ac:dyDescent="0.3">
      <c r="A714" s="1">
        <f t="shared" si="37"/>
        <v>37</v>
      </c>
      <c r="B714" s="17" t="s">
        <v>199</v>
      </c>
      <c r="C714" s="18" t="s">
        <v>106</v>
      </c>
      <c r="D714" s="23">
        <v>76</v>
      </c>
      <c r="E714" s="25">
        <v>406</v>
      </c>
      <c r="F714" s="87">
        <f t="shared" si="36"/>
        <v>5.3421052631578947</v>
      </c>
    </row>
    <row r="715" spans="1:6" ht="15.6" x14ac:dyDescent="0.3">
      <c r="A715" s="1">
        <f t="shared" si="37"/>
        <v>38</v>
      </c>
      <c r="B715" s="17" t="s">
        <v>80</v>
      </c>
      <c r="C715" s="18" t="s">
        <v>81</v>
      </c>
      <c r="D715" s="23">
        <v>15</v>
      </c>
      <c r="E715" s="25">
        <v>77</v>
      </c>
      <c r="F715" s="87">
        <f t="shared" si="36"/>
        <v>5.1333333333333337</v>
      </c>
    </row>
    <row r="716" spans="1:6" ht="15.6" x14ac:dyDescent="0.3">
      <c r="A716" s="1">
        <f t="shared" si="37"/>
        <v>39</v>
      </c>
      <c r="B716" s="17" t="s">
        <v>155</v>
      </c>
      <c r="C716" s="18" t="s">
        <v>156</v>
      </c>
      <c r="D716" s="23">
        <v>42</v>
      </c>
      <c r="E716" s="25">
        <v>210</v>
      </c>
      <c r="F716" s="87">
        <f t="shared" si="36"/>
        <v>5</v>
      </c>
    </row>
    <row r="717" spans="1:6" ht="15.6" x14ac:dyDescent="0.3">
      <c r="A717" s="1">
        <f t="shared" si="37"/>
        <v>40</v>
      </c>
      <c r="B717" s="17" t="s">
        <v>96</v>
      </c>
      <c r="C717" s="18" t="s">
        <v>97</v>
      </c>
      <c r="D717" s="23">
        <v>20</v>
      </c>
      <c r="E717" s="25">
        <v>99</v>
      </c>
      <c r="F717" s="87">
        <f t="shared" si="36"/>
        <v>4.95</v>
      </c>
    </row>
    <row r="718" spans="1:6" ht="15.6" x14ac:dyDescent="0.3">
      <c r="A718" s="1">
        <f t="shared" si="37"/>
        <v>41</v>
      </c>
      <c r="B718" s="17" t="s">
        <v>28</v>
      </c>
      <c r="C718" s="18" t="s">
        <v>29</v>
      </c>
      <c r="D718" s="23">
        <v>35</v>
      </c>
      <c r="E718" s="25">
        <v>169</v>
      </c>
      <c r="F718" s="87">
        <f t="shared" si="36"/>
        <v>4.8285714285714283</v>
      </c>
    </row>
    <row r="719" spans="1:6" ht="15.6" x14ac:dyDescent="0.3">
      <c r="A719" s="1">
        <f t="shared" si="37"/>
        <v>42</v>
      </c>
      <c r="B719" s="17" t="s">
        <v>105</v>
      </c>
      <c r="C719" s="18" t="s">
        <v>106</v>
      </c>
      <c r="D719" s="23">
        <v>25</v>
      </c>
      <c r="E719" s="25">
        <v>118</v>
      </c>
      <c r="F719" s="87">
        <f t="shared" si="36"/>
        <v>4.72</v>
      </c>
    </row>
    <row r="720" spans="1:6" ht="15.6" x14ac:dyDescent="0.3">
      <c r="A720" s="1">
        <f t="shared" si="37"/>
        <v>43</v>
      </c>
      <c r="B720" s="17" t="s">
        <v>180</v>
      </c>
      <c r="C720" s="18" t="s">
        <v>181</v>
      </c>
      <c r="D720" s="23">
        <v>41</v>
      </c>
      <c r="E720" s="25">
        <v>185</v>
      </c>
      <c r="F720" s="87">
        <f t="shared" si="36"/>
        <v>4.5121951219512191</v>
      </c>
    </row>
    <row r="721" spans="1:6" ht="15.6" x14ac:dyDescent="0.3">
      <c r="A721" s="1">
        <f t="shared" si="37"/>
        <v>44</v>
      </c>
      <c r="B721" s="26" t="s">
        <v>37</v>
      </c>
      <c r="C721" s="25" t="s">
        <v>38</v>
      </c>
      <c r="D721" s="23">
        <v>18</v>
      </c>
      <c r="E721" s="25">
        <v>78</v>
      </c>
      <c r="F721" s="87">
        <f t="shared" si="36"/>
        <v>4.333333333333333</v>
      </c>
    </row>
    <row r="722" spans="1:6" ht="15.6" x14ac:dyDescent="0.3">
      <c r="A722" s="1">
        <f t="shared" si="37"/>
        <v>45</v>
      </c>
      <c r="B722" s="26" t="s">
        <v>71</v>
      </c>
      <c r="C722" s="25" t="s">
        <v>72</v>
      </c>
      <c r="D722" s="23">
        <v>31</v>
      </c>
      <c r="E722" s="25">
        <v>127</v>
      </c>
      <c r="F722" s="87">
        <f t="shared" si="36"/>
        <v>4.096774193548387</v>
      </c>
    </row>
    <row r="723" spans="1:6" ht="15.6" x14ac:dyDescent="0.3">
      <c r="A723" s="1">
        <f t="shared" si="37"/>
        <v>46</v>
      </c>
      <c r="B723" s="17" t="s">
        <v>117</v>
      </c>
      <c r="C723" s="18" t="s">
        <v>44</v>
      </c>
      <c r="D723" s="23">
        <v>35</v>
      </c>
      <c r="E723" s="25">
        <v>141</v>
      </c>
      <c r="F723" s="87">
        <f t="shared" si="36"/>
        <v>4.0285714285714285</v>
      </c>
    </row>
    <row r="724" spans="1:6" ht="15.6" x14ac:dyDescent="0.3">
      <c r="A724" s="1">
        <f t="shared" si="37"/>
        <v>47</v>
      </c>
      <c r="B724" s="17" t="s">
        <v>145</v>
      </c>
      <c r="C724" s="18" t="s">
        <v>146</v>
      </c>
      <c r="D724" s="23">
        <v>13</v>
      </c>
      <c r="E724" s="25">
        <v>52</v>
      </c>
      <c r="F724" s="87">
        <f t="shared" si="36"/>
        <v>4</v>
      </c>
    </row>
    <row r="725" spans="1:6" ht="15.6" x14ac:dyDescent="0.3">
      <c r="A725" s="1">
        <f t="shared" si="37"/>
        <v>48</v>
      </c>
      <c r="B725" s="17" t="s">
        <v>119</v>
      </c>
      <c r="C725" s="18" t="s">
        <v>70</v>
      </c>
      <c r="D725" s="23">
        <v>25</v>
      </c>
      <c r="E725" s="25">
        <v>95</v>
      </c>
      <c r="F725" s="87">
        <f t="shared" si="36"/>
        <v>3.8</v>
      </c>
    </row>
    <row r="726" spans="1:6" ht="15.6" x14ac:dyDescent="0.3">
      <c r="A726" s="1">
        <f t="shared" si="37"/>
        <v>49</v>
      </c>
      <c r="B726" s="26" t="s">
        <v>169</v>
      </c>
      <c r="C726" s="25" t="s">
        <v>171</v>
      </c>
      <c r="D726" s="23">
        <v>24</v>
      </c>
      <c r="E726" s="25">
        <v>90</v>
      </c>
      <c r="F726" s="87">
        <f t="shared" si="36"/>
        <v>3.75</v>
      </c>
    </row>
    <row r="727" spans="1:6" ht="15.6" x14ac:dyDescent="0.3">
      <c r="A727" s="1">
        <f t="shared" si="37"/>
        <v>50</v>
      </c>
      <c r="B727" s="17" t="s">
        <v>18</v>
      </c>
      <c r="C727" s="18" t="s">
        <v>19</v>
      </c>
      <c r="D727" s="23">
        <v>11</v>
      </c>
      <c r="E727" s="25">
        <v>41</v>
      </c>
      <c r="F727" s="87">
        <f t="shared" si="36"/>
        <v>3.7272727272727271</v>
      </c>
    </row>
    <row r="728" spans="1:6" ht="15.6" x14ac:dyDescent="0.3">
      <c r="A728" s="1">
        <f t="shared" si="37"/>
        <v>51</v>
      </c>
      <c r="B728" s="17" t="s">
        <v>43</v>
      </c>
      <c r="C728" s="18" t="s">
        <v>44</v>
      </c>
      <c r="D728" s="23">
        <v>18</v>
      </c>
      <c r="E728" s="25">
        <v>66</v>
      </c>
      <c r="F728" s="87">
        <f t="shared" si="36"/>
        <v>3.6666666666666665</v>
      </c>
    </row>
    <row r="729" spans="1:6" ht="15.6" x14ac:dyDescent="0.3">
      <c r="A729" s="1">
        <f t="shared" si="37"/>
        <v>52</v>
      </c>
      <c r="B729" s="17" t="s">
        <v>75</v>
      </c>
      <c r="C729" s="18" t="s">
        <v>76</v>
      </c>
      <c r="D729" s="23">
        <v>11</v>
      </c>
      <c r="E729" s="25">
        <v>39</v>
      </c>
      <c r="F729" s="87">
        <f t="shared" si="36"/>
        <v>3.5454545454545454</v>
      </c>
    </row>
    <row r="730" spans="1:6" ht="15.6" x14ac:dyDescent="0.3">
      <c r="A730" s="1">
        <f t="shared" si="37"/>
        <v>53</v>
      </c>
      <c r="B730" s="17" t="s">
        <v>131</v>
      </c>
      <c r="C730" s="18" t="s">
        <v>70</v>
      </c>
      <c r="D730" s="23">
        <v>18</v>
      </c>
      <c r="E730" s="25">
        <v>56</v>
      </c>
      <c r="F730" s="87">
        <f t="shared" si="36"/>
        <v>3.1111111111111112</v>
      </c>
    </row>
    <row r="731" spans="1:6" ht="15.6" x14ac:dyDescent="0.3">
      <c r="A731" s="1">
        <f t="shared" si="37"/>
        <v>54</v>
      </c>
      <c r="B731" s="17" t="s">
        <v>20</v>
      </c>
      <c r="C731" s="18" t="s">
        <v>21</v>
      </c>
      <c r="D731" s="23">
        <v>23</v>
      </c>
      <c r="E731" s="25">
        <v>70</v>
      </c>
      <c r="F731" s="87">
        <f t="shared" si="36"/>
        <v>3.0434782608695654</v>
      </c>
    </row>
    <row r="732" spans="1:6" ht="15.6" x14ac:dyDescent="0.3">
      <c r="A732" s="1">
        <f t="shared" si="37"/>
        <v>55</v>
      </c>
      <c r="B732" s="17" t="s">
        <v>130</v>
      </c>
      <c r="C732" s="18" t="s">
        <v>106</v>
      </c>
      <c r="D732" s="23">
        <v>10</v>
      </c>
      <c r="E732" s="25">
        <v>30</v>
      </c>
      <c r="F732" s="87">
        <f t="shared" si="36"/>
        <v>3</v>
      </c>
    </row>
    <row r="733" spans="1:6" ht="15.6" x14ac:dyDescent="0.3">
      <c r="A733" s="1">
        <f t="shared" si="37"/>
        <v>56</v>
      </c>
      <c r="B733" s="26" t="s">
        <v>32</v>
      </c>
      <c r="C733" s="25" t="s">
        <v>33</v>
      </c>
      <c r="D733" s="23">
        <v>5</v>
      </c>
      <c r="E733" s="25">
        <v>14</v>
      </c>
      <c r="F733" s="87">
        <f t="shared" si="36"/>
        <v>2.8</v>
      </c>
    </row>
    <row r="734" spans="1:6" ht="15.6" x14ac:dyDescent="0.3">
      <c r="A734" s="1">
        <f t="shared" si="37"/>
        <v>57</v>
      </c>
      <c r="B734" s="26" t="s">
        <v>82</v>
      </c>
      <c r="C734" s="25" t="s">
        <v>83</v>
      </c>
      <c r="D734" s="23">
        <v>5</v>
      </c>
      <c r="E734" s="25">
        <v>14</v>
      </c>
      <c r="F734" s="87">
        <f t="shared" si="36"/>
        <v>2.8</v>
      </c>
    </row>
    <row r="735" spans="1:6" ht="15.6" x14ac:dyDescent="0.3">
      <c r="A735" s="1">
        <f t="shared" si="37"/>
        <v>58</v>
      </c>
      <c r="B735" s="17" t="s">
        <v>30</v>
      </c>
      <c r="C735" s="18" t="s">
        <v>31</v>
      </c>
      <c r="D735" s="23">
        <v>34</v>
      </c>
      <c r="E735" s="25">
        <v>90</v>
      </c>
      <c r="F735" s="87">
        <f t="shared" si="36"/>
        <v>2.6470588235294117</v>
      </c>
    </row>
    <row r="736" spans="1:6" ht="15.6" x14ac:dyDescent="0.3">
      <c r="A736" s="1">
        <f t="shared" si="37"/>
        <v>59</v>
      </c>
      <c r="B736" s="17" t="s">
        <v>153</v>
      </c>
      <c r="C736" s="18" t="s">
        <v>50</v>
      </c>
      <c r="D736" s="23">
        <v>6</v>
      </c>
      <c r="E736" s="25">
        <v>14</v>
      </c>
      <c r="F736" s="87">
        <f t="shared" si="36"/>
        <v>2.3333333333333335</v>
      </c>
    </row>
    <row r="737" spans="1:6" ht="15.6" x14ac:dyDescent="0.3">
      <c r="A737" s="1">
        <f t="shared" si="37"/>
        <v>60</v>
      </c>
      <c r="B737" s="17" t="s">
        <v>151</v>
      </c>
      <c r="C737" s="18" t="s">
        <v>152</v>
      </c>
      <c r="D737" s="23">
        <v>29</v>
      </c>
      <c r="E737" s="25">
        <v>53</v>
      </c>
      <c r="F737" s="87">
        <f t="shared" si="36"/>
        <v>1.8275862068965518</v>
      </c>
    </row>
    <row r="738" spans="1:6" ht="15.6" x14ac:dyDescent="0.3">
      <c r="A738" s="1">
        <v>61</v>
      </c>
      <c r="B738" s="26" t="s">
        <v>191</v>
      </c>
      <c r="C738" s="25" t="s">
        <v>52</v>
      </c>
      <c r="D738" s="23">
        <v>16</v>
      </c>
      <c r="E738" s="25">
        <v>20</v>
      </c>
      <c r="F738" s="87">
        <f t="shared" si="36"/>
        <v>1.25</v>
      </c>
    </row>
    <row r="739" spans="1:6" ht="15.6" x14ac:dyDescent="0.3">
      <c r="A739" s="1">
        <f>A738+1</f>
        <v>62</v>
      </c>
      <c r="B739" s="17" t="s">
        <v>159</v>
      </c>
      <c r="C739" s="18" t="s">
        <v>161</v>
      </c>
      <c r="D739" s="23">
        <v>6</v>
      </c>
      <c r="E739" s="25">
        <v>7</v>
      </c>
      <c r="F739" s="87">
        <f t="shared" si="36"/>
        <v>1.1666666666666667</v>
      </c>
    </row>
    <row r="740" spans="1:6" ht="15.6" x14ac:dyDescent="0.3">
      <c r="A740" s="1">
        <f t="shared" si="37"/>
        <v>63</v>
      </c>
      <c r="B740" s="17" t="s">
        <v>168</v>
      </c>
      <c r="C740" s="18" t="s">
        <v>29</v>
      </c>
      <c r="D740" s="23">
        <v>9</v>
      </c>
      <c r="E740" s="25">
        <v>10</v>
      </c>
      <c r="F740" s="87">
        <f t="shared" si="36"/>
        <v>1.1111111111111112</v>
      </c>
    </row>
    <row r="741" spans="1:6" ht="15.6" x14ac:dyDescent="0.3">
      <c r="A741" s="1">
        <f t="shared" si="37"/>
        <v>64</v>
      </c>
      <c r="B741" s="26" t="s">
        <v>107</v>
      </c>
      <c r="C741" s="25" t="s">
        <v>108</v>
      </c>
      <c r="D741" s="23">
        <v>3</v>
      </c>
      <c r="E741" s="25">
        <v>3</v>
      </c>
      <c r="F741" s="87">
        <f t="shared" si="36"/>
        <v>1</v>
      </c>
    </row>
    <row r="742" spans="1:6" ht="15.6" x14ac:dyDescent="0.3">
      <c r="A742" s="1">
        <f t="shared" si="37"/>
        <v>65</v>
      </c>
      <c r="B742" s="26" t="s">
        <v>141</v>
      </c>
      <c r="C742" s="25" t="s">
        <v>142</v>
      </c>
      <c r="D742" s="23">
        <v>5</v>
      </c>
      <c r="E742" s="25">
        <v>5</v>
      </c>
      <c r="F742" s="87">
        <f t="shared" ref="F742:F745" si="38">E742/D742</f>
        <v>1</v>
      </c>
    </row>
    <row r="743" spans="1:6" ht="15.6" x14ac:dyDescent="0.3">
      <c r="A743" s="1">
        <f t="shared" si="37"/>
        <v>66</v>
      </c>
      <c r="B743" s="17" t="s">
        <v>179</v>
      </c>
      <c r="C743" s="18" t="s">
        <v>142</v>
      </c>
      <c r="D743" s="23">
        <v>7</v>
      </c>
      <c r="E743" s="25">
        <v>7</v>
      </c>
      <c r="F743" s="87">
        <f t="shared" si="38"/>
        <v>1</v>
      </c>
    </row>
    <row r="744" spans="1:6" ht="15.6" x14ac:dyDescent="0.3">
      <c r="A744" s="1">
        <v>66</v>
      </c>
      <c r="B744" s="26" t="s">
        <v>134</v>
      </c>
      <c r="C744" s="25" t="s">
        <v>135</v>
      </c>
      <c r="D744" s="23">
        <v>4</v>
      </c>
      <c r="E744" s="25">
        <v>3</v>
      </c>
      <c r="F744" s="87">
        <f t="shared" si="38"/>
        <v>0.75</v>
      </c>
    </row>
    <row r="745" spans="1:6" ht="16.2" thickBot="1" x14ac:dyDescent="0.35">
      <c r="A745" s="1">
        <v>67</v>
      </c>
      <c r="B745" s="79" t="s">
        <v>167</v>
      </c>
      <c r="C745" s="43" t="s">
        <v>99</v>
      </c>
      <c r="D745" s="39">
        <v>5</v>
      </c>
      <c r="E745" s="43">
        <v>2</v>
      </c>
      <c r="F745" s="93">
        <f t="shared" si="38"/>
        <v>0.4</v>
      </c>
    </row>
  </sheetData>
  <mergeCells count="40">
    <mergeCell ref="D676:E676"/>
    <mergeCell ref="B674:F675"/>
    <mergeCell ref="B603:B604"/>
    <mergeCell ref="C603:C604"/>
    <mergeCell ref="B676:B677"/>
    <mergeCell ref="C676:C677"/>
    <mergeCell ref="F676:F677"/>
    <mergeCell ref="D530:E530"/>
    <mergeCell ref="B530:B531"/>
    <mergeCell ref="C530:C531"/>
    <mergeCell ref="B528:E529"/>
    <mergeCell ref="D603:E603"/>
    <mergeCell ref="B601:E602"/>
    <mergeCell ref="D398:E398"/>
    <mergeCell ref="B396:F397"/>
    <mergeCell ref="F398:F399"/>
    <mergeCell ref="B266:B267"/>
    <mergeCell ref="C266:C267"/>
    <mergeCell ref="B398:B399"/>
    <mergeCell ref="C398:C399"/>
    <mergeCell ref="D134:E134"/>
    <mergeCell ref="B132:E133"/>
    <mergeCell ref="B134:B135"/>
    <mergeCell ref="C134:C135"/>
    <mergeCell ref="D266:E266"/>
    <mergeCell ref="B264:E265"/>
    <mergeCell ref="P2:Q2"/>
    <mergeCell ref="R2:S2"/>
    <mergeCell ref="T2:U2"/>
    <mergeCell ref="V2:W2"/>
    <mergeCell ref="X2:Y2"/>
    <mergeCell ref="B1:Y1"/>
    <mergeCell ref="B2:B3"/>
    <mergeCell ref="C2:C3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Janjic</dc:creator>
  <cp:lastModifiedBy>Aleksa Janjic</cp:lastModifiedBy>
  <dcterms:created xsi:type="dcterms:W3CDTF">2025-11-16T18:04:36Z</dcterms:created>
  <dcterms:modified xsi:type="dcterms:W3CDTF">2025-11-16T18:22:15Z</dcterms:modified>
</cp:coreProperties>
</file>